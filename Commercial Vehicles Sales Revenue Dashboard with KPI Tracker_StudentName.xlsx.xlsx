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C:\Users\DELL\Downloads\"/>
    </mc:Choice>
  </mc:AlternateContent>
  <xr:revisionPtr revIDLastSave="0" documentId="13_ncr:1_{642A9D88-70B3-4C6D-9F14-5E67DE430F5F}" xr6:coauthVersionLast="47" xr6:coauthVersionMax="47" xr10:uidLastSave="{00000000-0000-0000-0000-000000000000}"/>
  <bookViews>
    <workbookView xWindow="-108" yWindow="-108" windowWidth="23256" windowHeight="12456" activeTab="1" xr2:uid="{A1A363EA-7E0A-486D-9E10-AE977EBDCBA2}"/>
  </bookViews>
  <sheets>
    <sheet name="Data_Master" sheetId="1" r:id="rId1"/>
    <sheet name="Dashboard" sheetId="2" r:id="rId2"/>
  </sheets>
  <definedNames>
    <definedName name="Slicer_OEM___Brand">#N/A</definedName>
  </definedNames>
  <calcPr calcId="191029"/>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3"/>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6" i="1" l="1"/>
  <c r="B6" i="1"/>
  <c r="E7" i="2" s="1"/>
  <c r="G6" i="1"/>
  <c r="G7" i="2" s="1"/>
  <c r="D6" i="1"/>
  <c r="A7" i="2" s="1"/>
  <c r="C6" i="1" l="1"/>
  <c r="F6" i="1"/>
  <c r="C7" i="2" s="1"/>
</calcChain>
</file>

<file path=xl/sharedStrings.xml><?xml version="1.0" encoding="utf-8"?>
<sst xmlns="http://schemas.openxmlformats.org/spreadsheetml/2006/main" count="17" uniqueCount="17">
  <si>
    <t>OEM / Brand</t>
  </si>
  <si>
    <t>Avg. Selling Price (₹ Lakh / Unit)</t>
  </si>
  <si>
    <t>Total Revenue (₹ Cr)</t>
  </si>
  <si>
    <t>Target Revenue (₹ Cr)</t>
  </si>
  <si>
    <t>Revenue Variance (%)</t>
  </si>
  <si>
    <t>YoY Revenue Growth (%)</t>
  </si>
  <si>
    <t>Tata Motors</t>
  </si>
  <si>
    <t>Ashok Leyland</t>
  </si>
  <si>
    <t>Eicher (VECV)</t>
  </si>
  <si>
    <t>BharatBenz</t>
  </si>
  <si>
    <t>Units of Commercial Vehicles Sold (July 2026)</t>
  </si>
  <si>
    <t>Total / Average</t>
  </si>
  <si>
    <t>Sales Revenue Dashboard with KPI Tracker</t>
  </si>
  <si>
    <t xml:space="preserve">Total Revenue </t>
  </si>
  <si>
    <t>Revenue Variance</t>
  </si>
  <si>
    <t>Total Units Sold</t>
  </si>
  <si>
    <t>Portfolio Average Growth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</si>
</sst>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3" formatCode="_(* #,##0.00_);_(* \(#,##0.00\);_(* &quot;-&quot;??_);_(@_)"/>
    <numFmt numFmtId="164" formatCode="\+0.00%;\-0.00%;0.00%"/>
    <numFmt numFmtId="165" formatCode="&quot;₹&quot;#,##0.00&quot; Cr&quot;"/>
    <numFmt numFmtId="166" formatCode="#,##0&quot; Units&quot;"/>
    <numFmt numFmtId="167" formatCode="&quot;₹&quot;#,##0.00&quot; L&quot;"/>
  </numFmts>
  <fonts count="10" x14ac:knownFonts="1">
    <font>
      <sz val="11"/>
      <color theme="1"/>
      <name val="Aptos Narrow"/>
      <family val="2"/>
      <scheme val="minor"/>
    </font>
    <font>
      <sz val="11"/>
      <color theme="1"/>
      <name val="Aptos Narrow"/>
      <family val="2"/>
      <scheme val="minor"/>
    </font>
    <font>
      <sz val="11"/>
      <color theme="1"/>
      <name val="Gadugi"/>
      <family val="2"/>
    </font>
    <font>
      <b/>
      <sz val="11"/>
      <color rgb="FF1F1F1F"/>
      <name val="Gadugi"/>
      <family val="2"/>
    </font>
    <font>
      <b/>
      <sz val="11"/>
      <color theme="1"/>
      <name val="Gadugi"/>
      <family val="2"/>
    </font>
    <font>
      <b/>
      <sz val="28"/>
      <color theme="1"/>
      <name val="Gadugi"/>
      <family val="2"/>
    </font>
    <font>
      <b/>
      <sz val="24"/>
      <color rgb="FF0000FF"/>
      <name val="Gadugi"/>
      <family val="2"/>
    </font>
    <font>
      <b/>
      <sz val="24"/>
      <color rgb="FFFFC000"/>
      <name val="Gadugi"/>
      <family val="2"/>
    </font>
    <font>
      <b/>
      <sz val="24"/>
      <color theme="8" tint="0.39997558519241921"/>
      <name val="Gadugi"/>
      <family val="2"/>
    </font>
    <font>
      <b/>
      <sz val="24"/>
      <color rgb="FFFF0000"/>
      <name val="Gadugi"/>
      <family val="2"/>
    </font>
  </fonts>
  <fills count="6">
    <fill>
      <patternFill patternType="none"/>
    </fill>
    <fill>
      <patternFill patternType="gray125"/>
    </fill>
    <fill>
      <patternFill patternType="solid">
        <fgColor rgb="FFADDA5C"/>
        <bgColor indexed="64"/>
      </patternFill>
    </fill>
    <fill>
      <patternFill patternType="solid">
        <fgColor theme="1"/>
        <bgColor indexed="64"/>
      </patternFill>
    </fill>
    <fill>
      <patternFill patternType="solid">
        <fgColor theme="1" tint="0.249977111117893"/>
        <bgColor indexed="64"/>
      </patternFill>
    </fill>
    <fill>
      <patternFill patternType="solid">
        <fgColor rgb="FFFFFF00"/>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double">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3">
    <xf numFmtId="0" fontId="0" fillId="0" borderId="0"/>
    <xf numFmtId="43" fontId="1" fillId="0" borderId="0" applyFont="0" applyFill="0" applyBorder="0" applyAlignment="0" applyProtection="0"/>
    <xf numFmtId="9" fontId="1" fillId="0" borderId="0" applyFont="0" applyFill="0" applyBorder="0" applyAlignment="0" applyProtection="0"/>
  </cellStyleXfs>
  <cellXfs count="28">
    <xf numFmtId="0" fontId="0" fillId="0" borderId="0" xfId="0"/>
    <xf numFmtId="0" fontId="2" fillId="0" borderId="0" xfId="0" applyFont="1" applyAlignment="1">
      <alignment vertical="center"/>
    </xf>
    <xf numFmtId="0" fontId="4" fillId="0" borderId="2" xfId="0" applyFont="1" applyBorder="1"/>
    <xf numFmtId="10" fontId="4" fillId="0" borderId="2" xfId="2" applyNumberFormat="1" applyFont="1" applyBorder="1" applyAlignment="1">
      <alignment vertical="center"/>
    </xf>
    <xf numFmtId="164" fontId="4" fillId="0" borderId="2" xfId="2" applyNumberFormat="1" applyFont="1" applyBorder="1" applyAlignment="1">
      <alignment vertical="center"/>
    </xf>
    <xf numFmtId="0" fontId="3" fillId="0" borderId="3" xfId="0" applyFont="1" applyBorder="1" applyAlignment="1">
      <alignment horizontal="left" vertical="center" wrapText="1" readingOrder="1"/>
    </xf>
    <xf numFmtId="0" fontId="3" fillId="0" borderId="8" xfId="0" applyFont="1" applyBorder="1" applyAlignment="1">
      <alignment horizontal="left" vertical="center" wrapText="1" readingOrder="1"/>
    </xf>
    <xf numFmtId="164" fontId="3" fillId="0" borderId="1" xfId="0" applyNumberFormat="1" applyFont="1" applyBorder="1" applyAlignment="1">
      <alignment horizontal="right" vertical="center" wrapText="1" readingOrder="1"/>
    </xf>
    <xf numFmtId="10" fontId="3" fillId="0" borderId="4" xfId="0" applyNumberFormat="1" applyFont="1" applyBorder="1" applyAlignment="1">
      <alignment horizontal="right" vertical="center" wrapText="1" readingOrder="1"/>
    </xf>
    <xf numFmtId="164" fontId="3" fillId="0" borderId="9" xfId="0" applyNumberFormat="1" applyFont="1" applyBorder="1" applyAlignment="1">
      <alignment horizontal="right" vertical="center" wrapText="1" readingOrder="1"/>
    </xf>
    <xf numFmtId="10" fontId="3" fillId="0" borderId="10" xfId="0" applyNumberFormat="1" applyFont="1" applyBorder="1" applyAlignment="1">
      <alignment horizontal="right" vertical="center" wrapText="1" readingOrder="1"/>
    </xf>
    <xf numFmtId="165" fontId="4" fillId="0" borderId="2" xfId="1" applyNumberFormat="1" applyFont="1" applyBorder="1" applyAlignment="1">
      <alignment horizontal="right" vertical="center"/>
    </xf>
    <xf numFmtId="166" fontId="4" fillId="0" borderId="2" xfId="1" applyNumberFormat="1" applyFont="1" applyBorder="1" applyAlignment="1">
      <alignment vertical="center"/>
    </xf>
    <xf numFmtId="167" fontId="3" fillId="0" borderId="1" xfId="0" applyNumberFormat="1" applyFont="1" applyBorder="1" applyAlignment="1">
      <alignment horizontal="right" vertical="center" wrapText="1" readingOrder="1"/>
    </xf>
    <xf numFmtId="167" fontId="3" fillId="0" borderId="9" xfId="0" applyNumberFormat="1" applyFont="1" applyBorder="1" applyAlignment="1">
      <alignment horizontal="right" vertical="center" wrapText="1" readingOrder="1"/>
    </xf>
    <xf numFmtId="167" fontId="4" fillId="0" borderId="2" xfId="0" applyNumberFormat="1" applyFont="1" applyBorder="1" applyAlignment="1">
      <alignment horizontal="right" vertical="center"/>
    </xf>
    <xf numFmtId="0" fontId="3" fillId="5" borderId="5" xfId="0" applyFont="1" applyFill="1" applyBorder="1" applyAlignment="1">
      <alignment horizontal="left" vertical="center" wrapText="1" readingOrder="1"/>
    </xf>
    <xf numFmtId="0" fontId="3" fillId="5" borderId="6" xfId="0" applyFont="1" applyFill="1" applyBorder="1" applyAlignment="1">
      <alignment horizontal="left" vertical="center" wrapText="1" readingOrder="1"/>
    </xf>
    <xf numFmtId="0" fontId="3" fillId="5" borderId="7" xfId="0" applyFont="1" applyFill="1" applyBorder="1" applyAlignment="1">
      <alignment horizontal="left" vertical="center" wrapText="1" readingOrder="1"/>
    </xf>
    <xf numFmtId="165" fontId="6" fillId="4" borderId="0" xfId="0" applyNumberFormat="1" applyFont="1" applyFill="1" applyAlignment="1">
      <alignment horizontal="center" vertical="center"/>
    </xf>
    <xf numFmtId="10" fontId="7" fillId="4" borderId="0" xfId="2" applyNumberFormat="1" applyFont="1" applyFill="1" applyAlignment="1">
      <alignment horizontal="center" vertical="center"/>
    </xf>
    <xf numFmtId="166" fontId="8" fillId="4" borderId="0" xfId="0" applyNumberFormat="1" applyFont="1" applyFill="1" applyAlignment="1">
      <alignment horizontal="center" vertical="center"/>
    </xf>
    <xf numFmtId="10" fontId="9" fillId="4" borderId="0" xfId="0" applyNumberFormat="1" applyFont="1" applyFill="1" applyAlignment="1">
      <alignment horizontal="center" vertical="center"/>
    </xf>
    <xf numFmtId="0" fontId="5" fillId="2" borderId="0" xfId="0" applyFont="1" applyFill="1" applyAlignment="1">
      <alignment horizontal="center" vertical="center"/>
    </xf>
    <xf numFmtId="0" fontId="6" fillId="3" borderId="0" xfId="0" applyFont="1" applyFill="1" applyAlignment="1">
      <alignment horizontal="center" vertical="center"/>
    </xf>
    <xf numFmtId="0" fontId="7" fillId="3" borderId="0" xfId="0" applyFont="1" applyFill="1" applyAlignment="1">
      <alignment horizontal="center" vertical="center"/>
    </xf>
    <xf numFmtId="0" fontId="8" fillId="3" borderId="0" xfId="0" applyFont="1" applyFill="1" applyAlignment="1">
      <alignment horizontal="center" vertical="center"/>
    </xf>
    <xf numFmtId="0" fontId="9" fillId="3" borderId="0" xfId="0" applyFont="1" applyFill="1" applyAlignment="1">
      <alignment horizontal="center" vertical="center"/>
    </xf>
  </cellXfs>
  <cellStyles count="3">
    <cellStyle name="Comma" xfId="1" builtinId="3"/>
    <cellStyle name="Normal" xfId="0" builtinId="0"/>
    <cellStyle name="Percent" xfId="2" builtinId="5"/>
  </cellStyles>
  <dxfs count="23">
    <dxf>
      <fill>
        <patternFill>
          <bgColor rgb="FFFFC7CE"/>
        </patternFill>
      </fill>
    </dxf>
    <dxf>
      <font>
        <color rgb="FF006100"/>
      </font>
      <fill>
        <patternFill>
          <bgColor rgb="FFC6EFCE"/>
        </patternFill>
      </fill>
    </dxf>
    <dxf>
      <font>
        <color rgb="FF9C0006"/>
      </font>
      <fill>
        <patternFill>
          <bgColor rgb="FFFFC7CE"/>
        </patternFill>
      </fill>
    </dxf>
    <dxf>
      <font>
        <b val="0"/>
        <i val="0"/>
        <strike val="0"/>
        <condense val="0"/>
        <extend val="0"/>
        <outline val="0"/>
        <shadow val="0"/>
        <u val="none"/>
        <vertAlign val="baseline"/>
        <sz val="11"/>
        <color rgb="FF1F1F1F"/>
        <name val="Gadugi"/>
        <family val="2"/>
        <scheme val="none"/>
      </font>
      <numFmt numFmtId="14" formatCode="0.00%"/>
      <alignment horizontal="right" vertical="center" textRotation="0" wrapText="1" indent="0" justifyLastLine="0" shrinkToFit="0" readingOrder="1"/>
      <border diagonalUp="0" diagonalDown="0" outline="0">
        <left style="thin">
          <color indexed="64"/>
        </left>
        <right/>
        <top style="thin">
          <color indexed="64"/>
        </top>
        <bottom/>
      </border>
    </dxf>
    <dxf>
      <font>
        <b/>
        <i val="0"/>
        <strike val="0"/>
        <condense val="0"/>
        <extend val="0"/>
        <outline val="0"/>
        <shadow val="0"/>
        <u val="none"/>
        <vertAlign val="baseline"/>
        <sz val="11"/>
        <color rgb="FF1F1F1F"/>
        <name val="Gadugi"/>
        <family val="2"/>
        <scheme val="none"/>
      </font>
      <numFmt numFmtId="14" formatCode="0.00%"/>
      <alignment horizontal="right" vertical="center" textRotation="0" wrapText="1" indent="0" justifyLastLine="0" shrinkToFit="0" readingOrder="1"/>
      <border diagonalUp="0" diagonalDown="0" outline="0">
        <left/>
        <right/>
        <top style="thin">
          <color indexed="64"/>
        </top>
        <bottom style="thin">
          <color indexed="64"/>
        </bottom>
      </border>
    </dxf>
    <dxf>
      <font>
        <b val="0"/>
        <i val="0"/>
        <strike val="0"/>
        <condense val="0"/>
        <extend val="0"/>
        <outline val="0"/>
        <shadow val="0"/>
        <u val="none"/>
        <vertAlign val="baseline"/>
        <sz val="11"/>
        <color rgb="FF1F1F1F"/>
        <name val="Gadugi"/>
        <family val="2"/>
        <scheme val="none"/>
      </font>
      <alignment horizontal="right" vertical="center" textRotation="0" wrapText="1" indent="0" justifyLastLine="0" shrinkToFit="0" readingOrder="1"/>
      <border diagonalUp="0" diagonalDown="0" outline="0">
        <left style="thin">
          <color indexed="64"/>
        </left>
        <right style="thin">
          <color indexed="64"/>
        </right>
        <top style="thin">
          <color indexed="64"/>
        </top>
        <bottom/>
      </border>
    </dxf>
    <dxf>
      <font>
        <b/>
        <i val="0"/>
        <strike val="0"/>
        <condense val="0"/>
        <extend val="0"/>
        <outline val="0"/>
        <shadow val="0"/>
        <u val="none"/>
        <vertAlign val="baseline"/>
        <sz val="11"/>
        <color rgb="FF1F1F1F"/>
        <name val="Gadugi"/>
        <family val="2"/>
        <scheme val="none"/>
      </font>
      <numFmt numFmtId="164" formatCode="\+0.00%;\-0.00%;0.00%"/>
      <alignment horizontal="right" vertical="center" textRotation="0" wrapText="1" indent="0" justifyLastLine="0" shrinkToFit="0" readingOrder="1"/>
      <border diagonalUp="0" diagonalDown="0" outline="0">
        <left/>
        <right/>
        <top style="thin">
          <color indexed="64"/>
        </top>
        <bottom style="thin">
          <color indexed="64"/>
        </bottom>
      </border>
    </dxf>
    <dxf>
      <font>
        <b val="0"/>
        <i val="0"/>
        <strike val="0"/>
        <condense val="0"/>
        <extend val="0"/>
        <outline val="0"/>
        <shadow val="0"/>
        <u val="none"/>
        <vertAlign val="baseline"/>
        <sz val="11"/>
        <color rgb="FF1F1F1F"/>
        <name val="Gadugi"/>
        <family val="2"/>
        <scheme val="none"/>
      </font>
      <numFmt numFmtId="0" formatCode="General"/>
      <alignment horizontal="right" vertical="center" textRotation="0" wrapText="1" indent="0" justifyLastLine="0" shrinkToFit="0" readingOrder="1"/>
      <border diagonalUp="0" diagonalDown="0" outline="0">
        <left style="thin">
          <color indexed="64"/>
        </left>
        <right style="thin">
          <color indexed="64"/>
        </right>
        <top style="thin">
          <color indexed="64"/>
        </top>
        <bottom/>
      </border>
    </dxf>
    <dxf>
      <font>
        <b/>
        <i val="0"/>
        <strike val="0"/>
        <condense val="0"/>
        <extend val="0"/>
        <outline val="0"/>
        <shadow val="0"/>
        <u val="none"/>
        <vertAlign val="baseline"/>
        <sz val="11"/>
        <color rgb="FF1F1F1F"/>
        <name val="Gadugi"/>
        <family val="2"/>
        <scheme val="none"/>
      </font>
      <numFmt numFmtId="165" formatCode="&quot;₹&quot;#,##0.00&quot; Cr&quot;"/>
      <alignment horizontal="right" vertical="center" textRotation="0" wrapText="0" indent="0" justifyLastLine="0" shrinkToFit="0" readingOrder="0"/>
      <border diagonalUp="0" diagonalDown="0">
        <left style="thin">
          <color indexed="64"/>
        </left>
        <right style="thin">
          <color indexed="64"/>
        </right>
        <top style="thin">
          <color indexed="64"/>
        </top>
        <bottom style="double">
          <color indexed="64"/>
        </bottom>
        <vertical/>
        <horizontal/>
      </border>
    </dxf>
    <dxf>
      <font>
        <b val="0"/>
        <i val="0"/>
        <strike val="0"/>
        <condense val="0"/>
        <extend val="0"/>
        <outline val="0"/>
        <shadow val="0"/>
        <u val="none"/>
        <vertAlign val="baseline"/>
        <sz val="11"/>
        <color rgb="FF1F1F1F"/>
        <name val="Gadugi"/>
        <family val="2"/>
        <scheme val="none"/>
      </font>
      <numFmt numFmtId="0" formatCode="General"/>
      <alignment horizontal="right" vertical="center" textRotation="0" wrapText="1" indent="0" justifyLastLine="0" shrinkToFit="0" readingOrder="1"/>
      <border diagonalUp="0" diagonalDown="0" outline="0">
        <left style="thin">
          <color indexed="64"/>
        </left>
        <right style="thin">
          <color indexed="64"/>
        </right>
        <top style="thin">
          <color indexed="64"/>
        </top>
        <bottom/>
      </border>
    </dxf>
    <dxf>
      <font>
        <b/>
        <i val="0"/>
        <strike val="0"/>
        <condense val="0"/>
        <extend val="0"/>
        <outline val="0"/>
        <shadow val="0"/>
        <u val="none"/>
        <vertAlign val="baseline"/>
        <sz val="11"/>
        <color rgb="FF1F1F1F"/>
        <name val="Gadugi"/>
        <family val="2"/>
        <scheme val="none"/>
      </font>
      <numFmt numFmtId="165" formatCode="&quot;₹&quot;#,##0.00&quot; Cr&quot;"/>
      <alignment horizontal="right" vertical="center" textRotation="0" wrapText="0" indent="0" justifyLastLine="0" shrinkToFit="0" readingOrder="0"/>
      <border diagonalUp="0" diagonalDown="0">
        <left style="thin">
          <color indexed="64"/>
        </left>
        <right style="thin">
          <color indexed="64"/>
        </right>
        <top style="thin">
          <color indexed="64"/>
        </top>
        <bottom style="double">
          <color indexed="64"/>
        </bottom>
        <vertical/>
        <horizontal/>
      </border>
    </dxf>
    <dxf>
      <font>
        <b val="0"/>
        <i val="0"/>
        <strike val="0"/>
        <condense val="0"/>
        <extend val="0"/>
        <outline val="0"/>
        <shadow val="0"/>
        <u val="none"/>
        <vertAlign val="baseline"/>
        <sz val="11"/>
        <color rgb="FF1F1F1F"/>
        <name val="Gadugi"/>
        <family val="2"/>
        <scheme val="none"/>
      </font>
      <alignment horizontal="right" vertical="center" textRotation="0" wrapText="1" indent="0" justifyLastLine="0" shrinkToFit="0" readingOrder="1"/>
      <border diagonalUp="0" diagonalDown="0" outline="0">
        <left style="thin">
          <color indexed="64"/>
        </left>
        <right style="thin">
          <color indexed="64"/>
        </right>
        <top style="thin">
          <color indexed="64"/>
        </top>
        <bottom/>
      </border>
    </dxf>
    <dxf>
      <font>
        <b/>
        <i val="0"/>
        <strike val="0"/>
        <condense val="0"/>
        <extend val="0"/>
        <outline val="0"/>
        <shadow val="0"/>
        <u val="none"/>
        <vertAlign val="baseline"/>
        <sz val="11"/>
        <color rgb="FF1F1F1F"/>
        <name val="Gadugi"/>
        <family val="2"/>
        <scheme val="none"/>
      </font>
      <numFmt numFmtId="167" formatCode="&quot;₹&quot;#,##0.00&quot; L&quot;"/>
      <alignment horizontal="right" vertical="center" textRotation="0" wrapText="1" indent="0" justifyLastLine="0" shrinkToFit="0" readingOrder="1"/>
      <border diagonalUp="0" diagonalDown="0">
        <left/>
        <right/>
        <top style="thin">
          <color indexed="64"/>
        </top>
        <bottom style="thin">
          <color indexed="64"/>
        </bottom>
      </border>
    </dxf>
    <dxf>
      <font>
        <b val="0"/>
        <i val="0"/>
        <strike val="0"/>
        <condense val="0"/>
        <extend val="0"/>
        <outline val="0"/>
        <shadow val="0"/>
        <u val="none"/>
        <vertAlign val="baseline"/>
        <sz val="11"/>
        <color rgb="FF1F1F1F"/>
        <name val="Gadugi"/>
        <family val="2"/>
        <scheme val="none"/>
      </font>
      <numFmt numFmtId="0" formatCode="General"/>
      <alignment horizontal="right" vertical="center" textRotation="0" wrapText="1" indent="0" justifyLastLine="0" shrinkToFit="0" readingOrder="1"/>
      <border diagonalUp="0" diagonalDown="0" outline="0">
        <left style="thin">
          <color indexed="64"/>
        </left>
        <right style="thin">
          <color indexed="64"/>
        </right>
        <top style="thin">
          <color indexed="64"/>
        </top>
        <bottom/>
      </border>
    </dxf>
    <dxf>
      <font>
        <b/>
        <i val="0"/>
        <strike val="0"/>
        <condense val="0"/>
        <extend val="0"/>
        <outline val="0"/>
        <shadow val="0"/>
        <u val="none"/>
        <vertAlign val="baseline"/>
        <sz val="11"/>
        <color rgb="FF1F1F1F"/>
        <name val="Gadugi"/>
        <family val="2"/>
        <scheme val="none"/>
      </font>
      <numFmt numFmtId="166" formatCode="#,##0&quot; Units&quot;"/>
      <alignment horizontal="general" vertical="center" textRotation="0" wrapText="0" indent="0" justifyLastLine="0" shrinkToFit="0" readingOrder="0"/>
      <border diagonalUp="0" diagonalDown="0">
        <left style="thin">
          <color indexed="64"/>
        </left>
        <right style="thin">
          <color indexed="64"/>
        </right>
        <top style="thin">
          <color indexed="64"/>
        </top>
        <bottom style="double">
          <color indexed="64"/>
        </bottom>
        <vertical/>
        <horizontal/>
      </border>
    </dxf>
    <dxf>
      <font>
        <b/>
        <i val="0"/>
        <strike val="0"/>
        <condense val="0"/>
        <extend val="0"/>
        <outline val="0"/>
        <shadow val="0"/>
        <u val="none"/>
        <vertAlign val="baseline"/>
        <sz val="11"/>
        <color rgb="FF1F1F1F"/>
        <name val="Gadugi"/>
        <family val="2"/>
        <scheme val="none"/>
      </font>
      <alignment horizontal="left" vertical="center" textRotation="0" wrapText="1" indent="0" justifyLastLine="0" shrinkToFit="0" readingOrder="1"/>
      <border diagonalUp="0" diagonalDown="0" outline="0">
        <left/>
        <right style="thin">
          <color indexed="64"/>
        </right>
        <top style="thin">
          <color indexed="64"/>
        </top>
        <bottom/>
      </border>
    </dxf>
    <dxf>
      <font>
        <b/>
        <i val="0"/>
        <strike val="0"/>
        <condense val="0"/>
        <extend val="0"/>
        <outline val="0"/>
        <shadow val="0"/>
        <u val="none"/>
        <vertAlign val="baseline"/>
        <sz val="11"/>
        <color rgb="FF1F1F1F"/>
        <name val="Gadugi"/>
        <family val="2"/>
        <scheme val="none"/>
      </font>
      <alignment horizontal="left" vertical="center" textRotation="0" wrapText="1" indent="0" justifyLastLine="0" shrinkToFit="0" readingOrder="1"/>
      <border diagonalUp="0" diagonalDown="0" outline="0">
        <left/>
        <right/>
        <top style="thin">
          <color indexed="64"/>
        </top>
        <bottom style="thin">
          <color indexed="64"/>
        </bottom>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rgb="FF1F1F1F"/>
        <name val="Gadugi"/>
        <family val="2"/>
        <scheme val="none"/>
      </font>
      <fill>
        <patternFill patternType="solid">
          <fgColor indexed="64"/>
          <bgColor rgb="FFFFFF00"/>
        </patternFill>
      </fill>
      <alignment horizontal="left" vertical="center" textRotation="0" wrapText="1" indent="0" justifyLastLine="0" shrinkToFit="0" readingOrder="1"/>
      <border diagonalUp="0" diagonalDown="0" outline="0">
        <left style="thin">
          <color indexed="64"/>
        </left>
        <right style="thin">
          <color indexed="64"/>
        </right>
        <top/>
        <bottom/>
      </border>
    </dxf>
    <dxf>
      <font>
        <b/>
        <i val="0"/>
        <sz val="12"/>
        <name val="Gadugi"/>
        <family val="2"/>
        <scheme val="none"/>
      </font>
      <fill>
        <patternFill patternType="solid">
          <fgColor theme="1"/>
        </patternFill>
      </fill>
      <border diagonalUp="0" diagonalDown="0">
        <left style="thin">
          <color auto="1"/>
        </left>
        <right style="thin">
          <color auto="1"/>
        </right>
        <top style="thin">
          <color auto="1"/>
        </top>
        <bottom style="thin">
          <color auto="1"/>
        </bottom>
        <vertical/>
        <horizontal/>
      </border>
    </dxf>
    <dxf>
      <font>
        <b/>
        <i val="0"/>
        <sz val="12"/>
        <color theme="1"/>
        <name val="Gadugi"/>
        <family val="2"/>
        <scheme val="none"/>
      </font>
      <fill>
        <patternFill patternType="none">
          <bgColor auto="1"/>
        </patternFill>
      </fill>
      <border diagonalUp="0" diagonalDown="0">
        <left/>
        <right/>
        <top/>
        <bottom/>
        <vertical/>
        <horizontal/>
      </border>
    </dxf>
  </dxfs>
  <tableStyles count="2" defaultTableStyle="TableStyleMedium2" defaultPivotStyle="PivotStyleLight16">
    <tableStyle name="Slicer Style 1" pivot="0" table="0" count="1" xr9:uid="{309E7A06-19D1-4E39-B1F0-DAE583035D25}">
      <tableStyleElement type="wholeTable" dxfId="22"/>
    </tableStyle>
    <tableStyle name="Slicer Style 2" pivot="0" table="0" count="1" xr9:uid="{5160BC73-104A-48B3-8190-8C15BBD1F55B}">
      <tableStyleElement type="wholeTable" dxfId="21"/>
    </tableStyle>
  </tableStyles>
  <colors>
    <mruColors>
      <color rgb="FF990000"/>
      <color rgb="FF0000FF"/>
      <color rgb="FFF6560E"/>
      <color rgb="FF3A19FF"/>
      <color rgb="FF000000"/>
      <color rgb="FF6400DE"/>
      <color rgb="FF8119FF"/>
      <color rgb="FFADDA5C"/>
    </mruColors>
  </colors>
  <extLst>
    <ext xmlns:x14="http://schemas.microsoft.com/office/spreadsheetml/2009/9/main" uri="{EB79DEF2-80B8-43e5-95BD-54CBDDF9020C}">
      <x14:slicerStyles defaultSlicerStyle="SlicerStyleLight1">
        <x14:slicerStyle name="Slicer Style 1"/>
        <x14:slicerStyle name="Slicer Style 2"/>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microsoft.com/office/2007/relationships/slicerCache" Target="slicerCaches/slicerCach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bg1"/>
                </a:solidFill>
                <a:effectLst>
                  <a:outerShdw blurRad="50800" dist="38100" dir="5400000" algn="t" rotWithShape="0">
                    <a:prstClr val="black">
                      <a:alpha val="40000"/>
                    </a:prstClr>
                  </a:outerShdw>
                </a:effectLst>
                <a:latin typeface="Gadugi" panose="020B0502040204020203" pitchFamily="34" charset="0"/>
                <a:ea typeface="Gadugi" panose="020B0502040204020203" pitchFamily="34" charset="0"/>
                <a:cs typeface="+mn-cs"/>
              </a:defRPr>
            </a:pPr>
            <a:r>
              <a:rPr lang="en-IN" sz="1600" b="1" i="0" u="none" strike="noStrike" baseline="0">
                <a:solidFill>
                  <a:schemeClr val="bg1"/>
                </a:solidFill>
                <a:effectLst>
                  <a:outerShdw blurRad="50800" dist="38100" dir="5400000" algn="t" rotWithShape="0">
                    <a:prstClr val="black">
                      <a:alpha val="40000"/>
                    </a:prstClr>
                  </a:outerShdw>
                </a:effectLst>
              </a:rPr>
              <a:t>Actual vs. Target Revenue by OEM (₹ Cr)</a:t>
            </a:r>
            <a:endParaRPr lang="en-IN">
              <a:solidFill>
                <a:schemeClr val="bg1"/>
              </a:solidFill>
              <a:latin typeface="Gadugi" panose="020B0502040204020203" pitchFamily="34" charset="0"/>
              <a:ea typeface="Gadugi" panose="020B0502040204020203" pitchFamily="34" charset="0"/>
            </a:endParaRP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bg1"/>
              </a:solidFill>
              <a:effectLst>
                <a:outerShdw blurRad="50800" dist="38100" dir="5400000" algn="t" rotWithShape="0">
                  <a:prstClr val="black">
                    <a:alpha val="40000"/>
                  </a:prstClr>
                </a:outerShdw>
              </a:effectLst>
              <a:latin typeface="Gadugi" panose="020B0502040204020203" pitchFamily="34" charset="0"/>
              <a:ea typeface="Gadugi" panose="020B0502040204020203" pitchFamily="34" charset="0"/>
              <a:cs typeface="+mn-cs"/>
            </a:defRPr>
          </a:pPr>
          <a:endParaRPr lang="en-IN"/>
        </a:p>
      </c:txPr>
    </c:title>
    <c:autoTitleDeleted val="0"/>
    <c:plotArea>
      <c:layout/>
      <c:barChart>
        <c:barDir val="col"/>
        <c:grouping val="clustered"/>
        <c:varyColors val="0"/>
        <c:ser>
          <c:idx val="0"/>
          <c:order val="0"/>
          <c:tx>
            <c:strRef>
              <c:f>Data_Master!$D$1</c:f>
              <c:strCache>
                <c:ptCount val="1"/>
                <c:pt idx="0">
                  <c:v>Total Revenue (₹ Cr)</c:v>
                </c:pt>
              </c:strCache>
            </c:strRef>
          </c:tx>
          <c:spPr>
            <a:solidFill>
              <a:srgbClr val="0000FF"/>
            </a:solidFill>
            <a:ln>
              <a:noFill/>
            </a:ln>
            <a:effectLst>
              <a:outerShdw blurRad="57150" dist="19050" dir="5400000" algn="ctr" rotWithShape="0">
                <a:srgbClr val="000000">
                  <a:alpha val="63000"/>
                </a:srgbClr>
              </a:outerShdw>
            </a:effectLst>
          </c:spPr>
          <c:invertIfNegative val="0"/>
          <c:dLbls>
            <c:dLbl>
              <c:idx val="2"/>
              <c:layout>
                <c:manualLayout>
                  <c:x val="-3.4098289527770907E-2"/>
                  <c:y val="-1.458332735263819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2-896D-4B74-A694-B8280E01037D}"/>
                </c:ext>
              </c:extLst>
            </c:dLbl>
            <c:dLbl>
              <c:idx val="3"/>
              <c:layout>
                <c:manualLayout>
                  <c:x val="5.0010824640730665E-2"/>
                  <c:y val="-4.739581389607382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896D-4B74-A694-B8280E01037D}"/>
                </c:ext>
              </c:extLst>
            </c:dLbl>
            <c:spPr>
              <a:solidFill>
                <a:srgbClr val="0000FF"/>
              </a:solidFill>
              <a:ln>
                <a:noFill/>
              </a:ln>
              <a:effectLst/>
            </c:spPr>
            <c:txPr>
              <a:bodyPr rot="0" spcFirstLastPara="1" vertOverflow="clip" horzOverflow="clip" vert="horz" wrap="square" lIns="36576" tIns="18288" rIns="36576" bIns="18288" anchor="ctr" anchorCtr="1">
                <a:spAutoFit/>
              </a:bodyPr>
              <a:lstStyle/>
              <a:p>
                <a:pPr>
                  <a:defRPr sz="1600" b="1" i="0" u="none" strike="noStrike" kern="1200" baseline="0">
                    <a:solidFill>
                      <a:schemeClr val="tx1"/>
                    </a:solidFill>
                    <a:latin typeface="Gadugi" panose="020B0502040204020203" pitchFamily="34" charset="0"/>
                    <a:ea typeface="Gadugi" panose="020B0502040204020203" pitchFamily="34" charset="0"/>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1"/>
                <c15:leaderLines>
                  <c:spPr>
                    <a:ln w="9525">
                      <a:solidFill>
                        <a:schemeClr val="lt1">
                          <a:lumMod val="95000"/>
                          <a:alpha val="54000"/>
                        </a:schemeClr>
                      </a:solidFill>
                    </a:ln>
                    <a:effectLst/>
                  </c:spPr>
                </c15:leaderLines>
              </c:ext>
            </c:extLst>
          </c:dLbls>
          <c:cat>
            <c:strRef>
              <c:f>Data_Master!$A$2:$A$5</c:f>
              <c:strCache>
                <c:ptCount val="4"/>
                <c:pt idx="0">
                  <c:v>Tata Motors</c:v>
                </c:pt>
                <c:pt idx="1">
                  <c:v>Ashok Leyland</c:v>
                </c:pt>
                <c:pt idx="2">
                  <c:v>Eicher (VECV)</c:v>
                </c:pt>
                <c:pt idx="3">
                  <c:v>BharatBenz</c:v>
                </c:pt>
              </c:strCache>
            </c:strRef>
          </c:cat>
          <c:val>
            <c:numRef>
              <c:f>Data_Master!$D$2:$D$5</c:f>
              <c:numCache>
                <c:formatCode>"₹"#,##0.00" Cr"</c:formatCode>
                <c:ptCount val="4"/>
                <c:pt idx="0">
                  <c:v>7333.59</c:v>
                </c:pt>
                <c:pt idx="1">
                  <c:v>4113.8999999999996</c:v>
                </c:pt>
                <c:pt idx="2">
                  <c:v>1335.04</c:v>
                </c:pt>
                <c:pt idx="3">
                  <c:v>475.1</c:v>
                </c:pt>
              </c:numCache>
            </c:numRef>
          </c:val>
          <c:extLst>
            <c:ext xmlns:c16="http://schemas.microsoft.com/office/drawing/2014/chart" uri="{C3380CC4-5D6E-409C-BE32-E72D297353CC}">
              <c16:uniqueId val="{00000000-6D82-49F1-A88C-685FC89234F5}"/>
            </c:ext>
          </c:extLst>
        </c:ser>
        <c:ser>
          <c:idx val="1"/>
          <c:order val="1"/>
          <c:tx>
            <c:strRef>
              <c:f>Data_Master!$E$1</c:f>
              <c:strCache>
                <c:ptCount val="1"/>
                <c:pt idx="0">
                  <c:v>Target Revenue (₹ Cr)</c:v>
                </c:pt>
              </c:strCache>
            </c:strRef>
          </c:tx>
          <c:spPr>
            <a:solidFill>
              <a:srgbClr val="F6560E"/>
            </a:solidFill>
            <a:ln>
              <a:noFill/>
            </a:ln>
            <a:effectLst>
              <a:outerShdw blurRad="57150" dist="19050" dir="5400000" algn="ctr" rotWithShape="0">
                <a:srgbClr val="000000">
                  <a:alpha val="63000"/>
                </a:srgbClr>
              </a:outerShdw>
            </a:effectLst>
          </c:spPr>
          <c:invertIfNegative val="0"/>
          <c:dLbls>
            <c:dLbl>
              <c:idx val="0"/>
              <c:layout>
                <c:manualLayout>
                  <c:x val="7.2733709989662221E-2"/>
                  <c:y val="5.468747757239272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896D-4B74-A694-B8280E01037D}"/>
                </c:ext>
              </c:extLst>
            </c:dLbl>
            <c:dLbl>
              <c:idx val="1"/>
              <c:layout>
                <c:manualLayout>
                  <c:x val="8.2963196847993498E-2"/>
                  <c:y val="2.89433116210171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896D-4B74-A694-B8280E01037D}"/>
                </c:ext>
              </c:extLst>
            </c:dLbl>
            <c:dLbl>
              <c:idx val="2"/>
              <c:layout>
                <c:manualLayout>
                  <c:x val="4.7725344274140859E-2"/>
                  <c:y val="-1.495537444415418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896D-4B74-A694-B8280E01037D}"/>
                </c:ext>
              </c:extLst>
            </c:dLbl>
            <c:dLbl>
              <c:idx val="3"/>
              <c:layout>
                <c:manualLayout>
                  <c:x val="0.11251155739596823"/>
                  <c:y val="4.330358296276932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896D-4B74-A694-B8280E01037D}"/>
                </c:ext>
              </c:extLst>
            </c:dLbl>
            <c:spPr>
              <a:solidFill>
                <a:srgbClr val="F6560E"/>
              </a:solidFill>
              <a:ln>
                <a:noFill/>
              </a:ln>
              <a:effectLst/>
            </c:spPr>
            <c:txPr>
              <a:bodyPr rot="0" spcFirstLastPara="1" vertOverflow="clip" horzOverflow="clip" vert="horz" wrap="square" lIns="36576" tIns="18288" rIns="36576" bIns="18288" anchor="ctr" anchorCtr="1">
                <a:spAutoFit/>
              </a:bodyPr>
              <a:lstStyle/>
              <a:p>
                <a:pPr>
                  <a:defRPr sz="1600" b="1" i="0" u="none" strike="noStrike" kern="1200" baseline="0">
                    <a:solidFill>
                      <a:schemeClr val="tx1"/>
                    </a:solidFill>
                    <a:latin typeface="Gadugi" panose="020B0502040204020203" pitchFamily="34" charset="0"/>
                    <a:ea typeface="Gadugi" panose="020B0502040204020203" pitchFamily="34" charset="0"/>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1"/>
                <c15:leaderLines>
                  <c:spPr>
                    <a:ln w="9525">
                      <a:solidFill>
                        <a:schemeClr val="lt1">
                          <a:lumMod val="95000"/>
                          <a:alpha val="54000"/>
                        </a:schemeClr>
                      </a:solidFill>
                    </a:ln>
                    <a:effectLst/>
                  </c:spPr>
                </c15:leaderLines>
              </c:ext>
            </c:extLst>
          </c:dLbls>
          <c:cat>
            <c:strRef>
              <c:f>Data_Master!$A$2:$A$5</c:f>
              <c:strCache>
                <c:ptCount val="4"/>
                <c:pt idx="0">
                  <c:v>Tata Motors</c:v>
                </c:pt>
                <c:pt idx="1">
                  <c:v>Ashok Leyland</c:v>
                </c:pt>
                <c:pt idx="2">
                  <c:v>Eicher (VECV)</c:v>
                </c:pt>
                <c:pt idx="3">
                  <c:v>BharatBenz</c:v>
                </c:pt>
              </c:strCache>
            </c:strRef>
          </c:cat>
          <c:val>
            <c:numRef>
              <c:f>Data_Master!$E$2:$E$5</c:f>
              <c:numCache>
                <c:formatCode>"₹"#,##0.00" Cr"</c:formatCode>
                <c:ptCount val="4"/>
                <c:pt idx="0">
                  <c:v>7100</c:v>
                </c:pt>
                <c:pt idx="1">
                  <c:v>4250</c:v>
                </c:pt>
                <c:pt idx="2">
                  <c:v>1300</c:v>
                </c:pt>
                <c:pt idx="3">
                  <c:v>450</c:v>
                </c:pt>
              </c:numCache>
            </c:numRef>
          </c:val>
          <c:extLst>
            <c:ext xmlns:c16="http://schemas.microsoft.com/office/drawing/2014/chart" uri="{C3380CC4-5D6E-409C-BE32-E72D297353CC}">
              <c16:uniqueId val="{00000001-6D82-49F1-A88C-685FC89234F5}"/>
            </c:ext>
          </c:extLst>
        </c:ser>
        <c:dLbls>
          <c:showLegendKey val="0"/>
          <c:showVal val="0"/>
          <c:showCatName val="0"/>
          <c:showSerName val="0"/>
          <c:showPercent val="0"/>
          <c:showBubbleSize val="0"/>
        </c:dLbls>
        <c:gapWidth val="150"/>
        <c:axId val="326305775"/>
        <c:axId val="531291247"/>
      </c:barChart>
      <c:catAx>
        <c:axId val="326305775"/>
        <c:scaling>
          <c:orientation val="minMax"/>
        </c:scaling>
        <c:delete val="0"/>
        <c:axPos val="b"/>
        <c:numFmt formatCode="General" sourceLinked="1"/>
        <c:majorTickMark val="none"/>
        <c:minorTickMark val="none"/>
        <c:tickLblPos val="nextTo"/>
        <c:spPr>
          <a:noFill/>
          <a:ln w="12700" cap="flat" cmpd="sng" algn="ctr">
            <a:noFill/>
            <a:round/>
          </a:ln>
          <a:effectLst/>
        </c:spPr>
        <c:txPr>
          <a:bodyPr rot="-60000000" spcFirstLastPara="1" vertOverflow="ellipsis" vert="horz" wrap="square" anchor="ctr" anchorCtr="1"/>
          <a:lstStyle/>
          <a:p>
            <a:pPr>
              <a:defRPr sz="1600" b="1" i="0" u="none" strike="noStrike" kern="1200" baseline="0">
                <a:solidFill>
                  <a:schemeClr val="bg1"/>
                </a:solidFill>
                <a:latin typeface="Gadugi" panose="020B0502040204020203" pitchFamily="34" charset="0"/>
                <a:ea typeface="Gadugi" panose="020B0502040204020203" pitchFamily="34" charset="0"/>
                <a:cs typeface="+mn-cs"/>
              </a:defRPr>
            </a:pPr>
            <a:endParaRPr lang="en-US"/>
          </a:p>
        </c:txPr>
        <c:crossAx val="531291247"/>
        <c:crosses val="autoZero"/>
        <c:auto val="1"/>
        <c:lblAlgn val="ctr"/>
        <c:lblOffset val="100"/>
        <c:noMultiLvlLbl val="0"/>
      </c:catAx>
      <c:valAx>
        <c:axId val="531291247"/>
        <c:scaling>
          <c:orientation val="minMax"/>
        </c:scaling>
        <c:delete val="0"/>
        <c:axPos val="l"/>
        <c:majorGridlines>
          <c:spPr>
            <a:ln w="9525" cap="flat" cmpd="sng" algn="ctr">
              <a:solidFill>
                <a:schemeClr val="bg1"/>
              </a:solidFill>
              <a:round/>
            </a:ln>
            <a:effectLst/>
          </c:spPr>
        </c:majorGridlines>
        <c:numFmt formatCode="&quot;₹&quot;#,##0.00&quot; Cr&quot;" sourceLinked="1"/>
        <c:majorTickMark val="none"/>
        <c:minorTickMark val="none"/>
        <c:tickLblPos val="nextTo"/>
        <c:spPr>
          <a:noFill/>
          <a:ln>
            <a:noFill/>
          </a:ln>
          <a:effectLst/>
        </c:spPr>
        <c:txPr>
          <a:bodyPr rot="-60000000" spcFirstLastPara="1" vertOverflow="ellipsis" vert="horz" wrap="square" anchor="ctr" anchorCtr="1"/>
          <a:lstStyle/>
          <a:p>
            <a:pPr>
              <a:defRPr sz="1600" b="1" i="0" u="none" strike="noStrike" kern="1200" baseline="0">
                <a:solidFill>
                  <a:schemeClr val="bg1"/>
                </a:solidFill>
                <a:latin typeface="Gadugi" panose="020B0502040204020203" pitchFamily="34" charset="0"/>
                <a:ea typeface="Gadugi" panose="020B0502040204020203" pitchFamily="34" charset="0"/>
                <a:cs typeface="+mn-cs"/>
              </a:defRPr>
            </a:pPr>
            <a:endParaRPr lang="en-US"/>
          </a:p>
        </c:txPr>
        <c:crossAx val="3263057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600" b="1" i="0" u="none" strike="noStrike" kern="1200" baseline="0">
              <a:solidFill>
                <a:schemeClr val="bg1"/>
              </a:solidFill>
              <a:latin typeface="Gadugi" panose="020B0502040204020203" pitchFamily="34" charset="0"/>
              <a:ea typeface="Gadugi" panose="020B0502040204020203" pitchFamily="34" charset="0"/>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solidFill>
    <a:ln>
      <a:noFill/>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bg1"/>
                </a:solidFill>
                <a:effectLst>
                  <a:outerShdw blurRad="50800" dist="38100" dir="5400000" algn="t" rotWithShape="0">
                    <a:prstClr val="black">
                      <a:alpha val="40000"/>
                    </a:prstClr>
                  </a:outerShdw>
                </a:effectLst>
                <a:latin typeface="+mn-lt"/>
                <a:ea typeface="+mn-ea"/>
                <a:cs typeface="+mn-cs"/>
              </a:defRPr>
            </a:pPr>
            <a:r>
              <a:rPr lang="en-IN" sz="1600" b="1" i="0" u="none" strike="noStrike" baseline="0">
                <a:solidFill>
                  <a:schemeClr val="bg1"/>
                </a:solidFill>
                <a:effectLst>
                  <a:outerShdw blurRad="50800" dist="38100" dir="5400000" algn="t" rotWithShape="0">
                    <a:prstClr val="black">
                      <a:alpha val="40000"/>
                    </a:prstClr>
                  </a:outerShdw>
                </a:effectLst>
                <a:latin typeface="Gadugi" panose="020B0502040204020203" pitchFamily="34" charset="0"/>
                <a:ea typeface="Gadugi" panose="020B0502040204020203" pitchFamily="34" charset="0"/>
              </a:rPr>
              <a:t>OEM Revenue Market Share (%)</a:t>
            </a:r>
            <a:endParaRPr lang="en-US">
              <a:solidFill>
                <a:schemeClr val="bg1"/>
              </a:solidFill>
              <a:latin typeface="Gadugi" panose="020B0502040204020203" pitchFamily="34" charset="0"/>
              <a:ea typeface="Gadugi" panose="020B0502040204020203" pitchFamily="34" charset="0"/>
            </a:endParaRP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bg1"/>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doughnutChart>
        <c:varyColors val="1"/>
        <c:ser>
          <c:idx val="0"/>
          <c:order val="0"/>
          <c:tx>
            <c:strRef>
              <c:f>Data_Master!$D$1</c:f>
              <c:strCache>
                <c:ptCount val="1"/>
                <c:pt idx="0">
                  <c:v>Total Revenue (₹ Cr)</c:v>
                </c:pt>
              </c:strCache>
            </c:strRef>
          </c:tx>
          <c:spPr>
            <a:ln>
              <a:noFill/>
            </a:ln>
          </c:spPr>
          <c:dPt>
            <c:idx val="0"/>
            <c:bubble3D val="0"/>
            <c:spPr>
              <a:solidFill>
                <a:schemeClr val="tx1">
                  <a:lumMod val="50000"/>
                  <a:lumOff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986F-45F0-B750-2A07532EA8C9}"/>
              </c:ext>
            </c:extLst>
          </c:dPt>
          <c:dPt>
            <c:idx val="1"/>
            <c:bubble3D val="0"/>
            <c:spPr>
              <a:solidFill>
                <a:srgbClr val="3A19FF"/>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986F-45F0-B750-2A07532EA8C9}"/>
              </c:ext>
            </c:extLst>
          </c:dPt>
          <c:dPt>
            <c:idx val="2"/>
            <c:bubble3D val="0"/>
            <c:spPr>
              <a:solidFill>
                <a:srgbClr val="FF0000"/>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986F-45F0-B750-2A07532EA8C9}"/>
              </c:ext>
            </c:extLst>
          </c:dPt>
          <c:dPt>
            <c:idx val="3"/>
            <c:bubble3D val="0"/>
            <c:spPr>
              <a:solidFill>
                <a:srgbClr val="FFC000"/>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986F-45F0-B750-2A07532EA8C9}"/>
              </c:ext>
            </c:extLst>
          </c:dPt>
          <c:dLbls>
            <c:dLbl>
              <c:idx val="0"/>
              <c:layout>
                <c:manualLayout>
                  <c:x val="0.13259668508287292"/>
                  <c:y val="0.18358204640215134"/>
                </c:manualLayout>
              </c:layout>
              <c:numFmt formatCode="0.00%" sourceLinked="0"/>
              <c:spPr>
                <a:solidFill>
                  <a:sysClr val="windowText" lastClr="000000">
                    <a:lumMod val="50000"/>
                    <a:lumOff val="50000"/>
                  </a:sysClr>
                </a:solidFill>
                <a:ln>
                  <a:noFill/>
                </a:ln>
                <a:effectLst/>
              </c:spPr>
              <c:txPr>
                <a:bodyPr rot="0" spcFirstLastPara="1" vertOverflow="clip" horzOverflow="clip" vert="horz" wrap="square" lIns="36576" tIns="18288" rIns="36576" bIns="18288" anchor="ctr" anchorCtr="1">
                  <a:spAutoFit/>
                </a:bodyPr>
                <a:lstStyle/>
                <a:p>
                  <a:pPr>
                    <a:defRPr sz="1600" b="1"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1-986F-45F0-B750-2A07532EA8C9}"/>
                </c:ext>
              </c:extLst>
            </c:dLbl>
            <c:dLbl>
              <c:idx val="1"/>
              <c:layout>
                <c:manualLayout>
                  <c:x val="-0.12154696132596687"/>
                  <c:y val="0.12089549397214855"/>
                </c:manualLayout>
              </c:layout>
              <c:numFmt formatCode="0.00%" sourceLinked="0"/>
              <c:spPr>
                <a:solidFill>
                  <a:srgbClr val="3A19FF"/>
                </a:solidFill>
                <a:ln>
                  <a:noFill/>
                </a:ln>
                <a:effectLst/>
              </c:spPr>
              <c:txPr>
                <a:bodyPr rot="0" spcFirstLastPara="1" vertOverflow="clip" horzOverflow="clip" vert="horz" wrap="square" lIns="36576" tIns="18288" rIns="36576" bIns="18288" anchor="ctr" anchorCtr="1">
                  <a:spAutoFit/>
                </a:bodyPr>
                <a:lstStyle/>
                <a:p>
                  <a:pPr>
                    <a:defRPr sz="1600" b="1"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3-986F-45F0-B750-2A07532EA8C9}"/>
                </c:ext>
              </c:extLst>
            </c:dLbl>
            <c:dLbl>
              <c:idx val="2"/>
              <c:layout>
                <c:manualLayout>
                  <c:x val="-9.3922651933701681E-2"/>
                  <c:y val="-5.3731330654288291E-2"/>
                </c:manualLayout>
              </c:layout>
              <c:numFmt formatCode="0.00%" sourceLinked="0"/>
              <c:spPr>
                <a:solidFill>
                  <a:srgbClr val="FF0000"/>
                </a:solidFill>
                <a:ln>
                  <a:noFill/>
                </a:ln>
                <a:effectLst/>
              </c:spPr>
              <c:txPr>
                <a:bodyPr rot="0" spcFirstLastPara="1" vertOverflow="clip" horzOverflow="clip" vert="horz" wrap="square" lIns="36576" tIns="18288" rIns="36576" bIns="18288" anchor="ctr" anchorCtr="1">
                  <a:spAutoFit/>
                </a:bodyPr>
                <a:lstStyle/>
                <a:p>
                  <a:pPr>
                    <a:defRPr sz="1600" b="1"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5-986F-45F0-B750-2A07532EA8C9}"/>
                </c:ext>
              </c:extLst>
            </c:dLbl>
            <c:dLbl>
              <c:idx val="3"/>
              <c:layout>
                <c:manualLayout>
                  <c:x val="5.5248618784529881E-3"/>
                  <c:y val="-9.8507439532861785E-2"/>
                </c:manualLayout>
              </c:layout>
              <c:numFmt formatCode="0.00%" sourceLinked="0"/>
              <c:spPr>
                <a:solidFill>
                  <a:srgbClr val="FFC000"/>
                </a:solidFill>
                <a:ln>
                  <a:noFill/>
                </a:ln>
                <a:effectLst/>
              </c:spPr>
              <c:txPr>
                <a:bodyPr rot="0" spcFirstLastPara="1" vertOverflow="clip" horzOverflow="clip" vert="horz" wrap="square" lIns="36576" tIns="18288" rIns="36576" bIns="18288" anchor="ctr" anchorCtr="1">
                  <a:spAutoFit/>
                </a:bodyPr>
                <a:lstStyle/>
                <a:p>
                  <a:pPr>
                    <a:defRPr sz="1600" b="1"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1"/>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7-986F-45F0-B750-2A07532EA8C9}"/>
                </c:ext>
              </c:extLst>
            </c:dLbl>
            <c:numFmt formatCode="0.00%" sourceLinked="0"/>
            <c:spPr>
              <a:solidFill>
                <a:srgbClr val="0F9ED5">
                  <a:lumMod val="60000"/>
                  <a:lumOff val="40000"/>
                </a:srgbClr>
              </a:solidFill>
              <a:ln>
                <a:noFill/>
              </a:ln>
              <a:effectLst/>
            </c:spPr>
            <c:txPr>
              <a:bodyPr rot="0" spcFirstLastPara="1" vertOverflow="clip" horzOverflow="clip" vert="horz" wrap="square" lIns="36576" tIns="18288" rIns="36576" bIns="18288" anchor="ctr" anchorCtr="1">
                <a:spAutoFit/>
              </a:bodyPr>
              <a:lstStyle/>
              <a:p>
                <a:pPr>
                  <a:defRPr sz="16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1"/>
            <c:showBubbleSize val="0"/>
            <c:separator>. </c:separator>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Data_Master!$A$2:$A$5</c:f>
              <c:strCache>
                <c:ptCount val="4"/>
                <c:pt idx="0">
                  <c:v>Tata Motors</c:v>
                </c:pt>
                <c:pt idx="1">
                  <c:v>Ashok Leyland</c:v>
                </c:pt>
                <c:pt idx="2">
                  <c:v>Eicher (VECV)</c:v>
                </c:pt>
                <c:pt idx="3">
                  <c:v>BharatBenz</c:v>
                </c:pt>
              </c:strCache>
            </c:strRef>
          </c:cat>
          <c:val>
            <c:numRef>
              <c:f>Data_Master!$D$2:$D$5</c:f>
              <c:numCache>
                <c:formatCode>"₹"#,##0.00" Cr"</c:formatCode>
                <c:ptCount val="4"/>
                <c:pt idx="0">
                  <c:v>7333.59</c:v>
                </c:pt>
                <c:pt idx="1">
                  <c:v>4113.8999999999996</c:v>
                </c:pt>
                <c:pt idx="2">
                  <c:v>1335.04</c:v>
                </c:pt>
                <c:pt idx="3">
                  <c:v>475.1</c:v>
                </c:pt>
              </c:numCache>
            </c:numRef>
          </c:val>
          <c:extLst>
            <c:ext xmlns:c16="http://schemas.microsoft.com/office/drawing/2014/chart" uri="{C3380CC4-5D6E-409C-BE32-E72D297353CC}">
              <c16:uniqueId val="{00000008-986F-45F0-B750-2A07532EA8C9}"/>
            </c:ext>
          </c:extLst>
        </c:ser>
        <c:dLbls>
          <c:showLegendKey val="0"/>
          <c:showVal val="1"/>
          <c:showCatName val="0"/>
          <c:showSerName val="0"/>
          <c:showPercent val="0"/>
          <c:showBubbleSize val="0"/>
          <c:showLeaderLines val="0"/>
        </c:dLbls>
        <c:firstSliceAng val="0"/>
        <c:holeSize val="75"/>
      </c:doughnutChart>
      <c:spPr>
        <a:noFill/>
        <a:ln>
          <a:noFill/>
        </a:ln>
        <a:effectLst/>
      </c:spPr>
    </c:plotArea>
    <c:legend>
      <c:legendPos val="r"/>
      <c:layout>
        <c:manualLayout>
          <c:xMode val="edge"/>
          <c:yMode val="edge"/>
          <c:x val="0.6619527471817056"/>
          <c:y val="0.2365137384139587"/>
          <c:w val="0.20814156136686668"/>
          <c:h val="0.37647308782645311"/>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bg1"/>
              </a:solidFill>
              <a:latin typeface="Gadugi" panose="020B0502040204020203" pitchFamily="34" charset="0"/>
              <a:ea typeface="Gadugi" panose="020B0502040204020203" pitchFamily="34" charset="0"/>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000000"/>
    </a:solidFill>
    <a:ln>
      <a:noFill/>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bg1"/>
                </a:solidFill>
                <a:effectLst>
                  <a:outerShdw blurRad="50800" dist="38100" dir="5400000" algn="t" rotWithShape="0">
                    <a:prstClr val="black">
                      <a:alpha val="40000"/>
                    </a:prstClr>
                  </a:outerShdw>
                </a:effectLst>
                <a:latin typeface="Gadugi" panose="020B0502040204020203" pitchFamily="34" charset="0"/>
                <a:ea typeface="Gadugi" panose="020B0502040204020203" pitchFamily="34" charset="0"/>
                <a:cs typeface="+mn-cs"/>
              </a:defRPr>
            </a:pPr>
            <a:r>
              <a:rPr lang="en-IN" sz="1600" b="1" i="0" u="none" strike="noStrike" baseline="0">
                <a:solidFill>
                  <a:schemeClr val="bg1"/>
                </a:solidFill>
                <a:effectLst>
                  <a:outerShdw blurRad="50800" dist="38100" dir="5400000" algn="t" rotWithShape="0">
                    <a:prstClr val="black">
                      <a:alpha val="40000"/>
                    </a:prstClr>
                  </a:outerShdw>
                </a:effectLst>
              </a:rPr>
              <a:t>Commercial Vehicle Units Sold by OEM</a:t>
            </a:r>
            <a:endParaRPr lang="en-US" sz="1600">
              <a:solidFill>
                <a:schemeClr val="bg1"/>
              </a:solidFill>
            </a:endParaRP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bg1"/>
              </a:solidFill>
              <a:effectLst>
                <a:outerShdw blurRad="50800" dist="38100" dir="5400000" algn="t" rotWithShape="0">
                  <a:prstClr val="black">
                    <a:alpha val="40000"/>
                  </a:prstClr>
                </a:outerShdw>
              </a:effectLst>
              <a:latin typeface="Gadugi" panose="020B0502040204020203" pitchFamily="34" charset="0"/>
              <a:ea typeface="Gadugi" panose="020B0502040204020203" pitchFamily="34" charset="0"/>
              <a:cs typeface="+mn-cs"/>
            </a:defRPr>
          </a:pPr>
          <a:endParaRPr lang="en-US"/>
        </a:p>
      </c:txPr>
    </c:title>
    <c:autoTitleDeleted val="0"/>
    <c:plotArea>
      <c:layout/>
      <c:barChart>
        <c:barDir val="bar"/>
        <c:grouping val="clustered"/>
        <c:varyColors val="0"/>
        <c:ser>
          <c:idx val="0"/>
          <c:order val="0"/>
          <c:tx>
            <c:strRef>
              <c:f>Data_Master!$B$1</c:f>
              <c:strCache>
                <c:ptCount val="1"/>
                <c:pt idx="0">
                  <c:v>Units of Commercial Vehicles Sold (July 2026)</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0"/>
            <c:invertIfNegative val="0"/>
            <c:bubble3D val="0"/>
            <c:spPr>
              <a:solidFill>
                <a:schemeClr val="tx1">
                  <a:lumMod val="50000"/>
                  <a:lumOff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008F-474D-A0C2-7AFB33588C5B}"/>
              </c:ext>
            </c:extLst>
          </c:dPt>
          <c:dPt>
            <c:idx val="1"/>
            <c:invertIfNegative val="0"/>
            <c:bubble3D val="0"/>
            <c:spPr>
              <a:solidFill>
                <a:srgbClr val="3A19FF"/>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2-008F-474D-A0C2-7AFB33588C5B}"/>
              </c:ext>
            </c:extLst>
          </c:dPt>
          <c:dPt>
            <c:idx val="2"/>
            <c:invertIfNegative val="0"/>
            <c:bubble3D val="0"/>
            <c:spPr>
              <a:solidFill>
                <a:srgbClr val="FF0000"/>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008F-474D-A0C2-7AFB33588C5B}"/>
              </c:ext>
            </c:extLst>
          </c:dPt>
          <c:dPt>
            <c:idx val="3"/>
            <c:invertIfNegative val="0"/>
            <c:bubble3D val="0"/>
            <c:spPr>
              <a:solidFill>
                <a:srgbClr val="FFC000"/>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4-008F-474D-A0C2-7AFB33588C5B}"/>
              </c:ext>
            </c:extLst>
          </c:dPt>
          <c:dLbls>
            <c:dLbl>
              <c:idx val="0"/>
              <c:layout>
                <c:manualLayout>
                  <c:x val="-2.1626016537046495E-2"/>
                  <c:y val="-7.8346806649168932E-2"/>
                </c:manualLayout>
              </c:layout>
              <c:spPr>
                <a:solidFill>
                  <a:sysClr val="windowText" lastClr="000000">
                    <a:lumMod val="50000"/>
                    <a:lumOff val="50000"/>
                  </a:sysClr>
                </a:solidFill>
                <a:ln>
                  <a:noFill/>
                </a:ln>
                <a:effectLst/>
              </c:spPr>
              <c:txPr>
                <a:bodyPr rot="0" spcFirstLastPara="1" vertOverflow="clip" horzOverflow="clip" vert="horz" wrap="square" lIns="38100" tIns="19050" rIns="38100" bIns="19050" anchor="ctr" anchorCtr="1">
                  <a:spAutoFit/>
                </a:bodyPr>
                <a:lstStyle/>
                <a:p>
                  <a:pPr>
                    <a:defRPr sz="1600" b="1" i="0" u="none" strike="noStrike" kern="1200" baseline="0">
                      <a:solidFill>
                        <a:schemeClr val="tx1"/>
                      </a:solidFill>
                      <a:latin typeface="Gadugi" panose="020B0502040204020203" pitchFamily="34" charset="0"/>
                      <a:ea typeface="Gadugi" panose="020B0502040204020203" pitchFamily="34" charset="0"/>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1-008F-474D-A0C2-7AFB33588C5B}"/>
                </c:ext>
              </c:extLst>
            </c:dLbl>
            <c:dLbl>
              <c:idx val="1"/>
              <c:layout>
                <c:manualLayout>
                  <c:x val="3.7560962610890869E-2"/>
                  <c:y val="-6.1331233595800519E-2"/>
                </c:manualLayout>
              </c:layout>
              <c:spPr>
                <a:solidFill>
                  <a:srgbClr val="3A19FF"/>
                </a:solidFill>
                <a:ln>
                  <a:noFill/>
                </a:ln>
                <a:effectLst/>
              </c:spPr>
              <c:txPr>
                <a:bodyPr rot="0" spcFirstLastPara="1" vertOverflow="clip" horzOverflow="clip" vert="horz" wrap="square" lIns="38100" tIns="19050" rIns="38100" bIns="19050" anchor="ctr" anchorCtr="1">
                  <a:noAutofit/>
                </a:bodyPr>
                <a:lstStyle/>
                <a:p>
                  <a:pPr>
                    <a:defRPr sz="1600" b="1" i="0" u="none" strike="noStrike" kern="1200" baseline="0">
                      <a:solidFill>
                        <a:schemeClr val="tx1"/>
                      </a:solidFill>
                      <a:latin typeface="Gadugi" panose="020B0502040204020203" pitchFamily="34" charset="0"/>
                      <a:ea typeface="Gadugi" panose="020B0502040204020203" pitchFamily="34" charset="0"/>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2058614832483833"/>
                      <c:h val="5.7788801399825014E-2"/>
                    </c:manualLayout>
                  </c15:layout>
                </c:ext>
                <c:ext xmlns:c16="http://schemas.microsoft.com/office/drawing/2014/chart" uri="{C3380CC4-5D6E-409C-BE32-E72D297353CC}">
                  <c16:uniqueId val="{00000002-008F-474D-A0C2-7AFB33588C5B}"/>
                </c:ext>
              </c:extLst>
            </c:dLbl>
            <c:dLbl>
              <c:idx val="2"/>
              <c:layout>
                <c:manualLayout>
                  <c:x val="4.2113821677406335E-2"/>
                  <c:y val="-2.5582502187226595E-2"/>
                </c:manualLayout>
              </c:layout>
              <c:spPr>
                <a:solidFill>
                  <a:srgbClr val="FF0000"/>
                </a:solidFill>
                <a:ln>
                  <a:noFill/>
                </a:ln>
                <a:effectLst/>
              </c:spPr>
              <c:txPr>
                <a:bodyPr rot="0" spcFirstLastPara="1" vertOverflow="clip" horzOverflow="clip" vert="horz" wrap="square" lIns="38100" tIns="19050" rIns="38100" bIns="19050" anchor="ctr" anchorCtr="1">
                  <a:spAutoFit/>
                </a:bodyPr>
                <a:lstStyle/>
                <a:p>
                  <a:pPr>
                    <a:defRPr sz="1600" b="1" i="0" u="none" strike="noStrike" kern="1200" baseline="0">
                      <a:solidFill>
                        <a:schemeClr val="tx1"/>
                      </a:solidFill>
                      <a:latin typeface="Gadugi" panose="020B0502040204020203" pitchFamily="34" charset="0"/>
                      <a:ea typeface="Gadugi" panose="020B0502040204020203" pitchFamily="34" charset="0"/>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3-008F-474D-A0C2-7AFB33588C5B}"/>
                </c:ext>
              </c:extLst>
            </c:dLbl>
            <c:dLbl>
              <c:idx val="3"/>
              <c:layout>
                <c:manualLayout>
                  <c:x val="5.691056983433284E-2"/>
                  <c:y val="-2.170708661417323E-2"/>
                </c:manualLayout>
              </c:layout>
              <c:spPr>
                <a:solidFill>
                  <a:srgbClr val="FFC000"/>
                </a:solidFill>
                <a:ln>
                  <a:noFill/>
                </a:ln>
                <a:effectLst/>
              </c:spPr>
              <c:txPr>
                <a:bodyPr rot="0" spcFirstLastPara="1" vertOverflow="clip" horzOverflow="clip" vert="horz" wrap="square" lIns="38100" tIns="19050" rIns="38100" bIns="19050" anchor="ctr" anchorCtr="1">
                  <a:spAutoFit/>
                </a:bodyPr>
                <a:lstStyle/>
                <a:p>
                  <a:pPr>
                    <a:defRPr sz="1600" b="1" i="0" u="none" strike="noStrike" kern="1200" baseline="0">
                      <a:solidFill>
                        <a:schemeClr val="tx1"/>
                      </a:solidFill>
                      <a:latin typeface="Gadugi" panose="020B0502040204020203" pitchFamily="34" charset="0"/>
                      <a:ea typeface="Gadugi" panose="020B0502040204020203" pitchFamily="34" charset="0"/>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4-008F-474D-A0C2-7AFB33588C5B}"/>
                </c:ext>
              </c:extLst>
            </c:dLbl>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1400" b="1" i="0" u="none" strike="noStrike" kern="1200" baseline="0">
                    <a:solidFill>
                      <a:schemeClr val="tx1"/>
                    </a:solidFill>
                    <a:latin typeface="Gadugi" panose="020B0502040204020203" pitchFamily="34" charset="0"/>
                    <a:ea typeface="Gadugi" panose="020B0502040204020203" pitchFamily="34" charset="0"/>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Data_Master!$A$2:$A$5</c:f>
              <c:strCache>
                <c:ptCount val="4"/>
                <c:pt idx="0">
                  <c:v>Tata Motors</c:v>
                </c:pt>
                <c:pt idx="1">
                  <c:v>Ashok Leyland</c:v>
                </c:pt>
                <c:pt idx="2">
                  <c:v>Eicher (VECV)</c:v>
                </c:pt>
                <c:pt idx="3">
                  <c:v>BharatBenz</c:v>
                </c:pt>
              </c:strCache>
            </c:strRef>
          </c:cat>
          <c:val>
            <c:numRef>
              <c:f>Data_Master!$B$2:$B$5</c:f>
              <c:numCache>
                <c:formatCode>#,##0" Units"</c:formatCode>
                <c:ptCount val="4"/>
                <c:pt idx="0">
                  <c:v>39641</c:v>
                </c:pt>
                <c:pt idx="1">
                  <c:v>19590</c:v>
                </c:pt>
                <c:pt idx="2">
                  <c:v>8241</c:v>
                </c:pt>
                <c:pt idx="3">
                  <c:v>1667</c:v>
                </c:pt>
              </c:numCache>
            </c:numRef>
          </c:val>
          <c:extLst>
            <c:ext xmlns:c16="http://schemas.microsoft.com/office/drawing/2014/chart" uri="{C3380CC4-5D6E-409C-BE32-E72D297353CC}">
              <c16:uniqueId val="{00000000-008F-474D-A0C2-7AFB33588C5B}"/>
            </c:ext>
          </c:extLst>
        </c:ser>
        <c:dLbls>
          <c:showLegendKey val="0"/>
          <c:showVal val="0"/>
          <c:showCatName val="0"/>
          <c:showSerName val="0"/>
          <c:showPercent val="0"/>
          <c:showBubbleSize val="0"/>
        </c:dLbls>
        <c:gapWidth val="115"/>
        <c:overlap val="-20"/>
        <c:axId val="1703893135"/>
        <c:axId val="1595655855"/>
      </c:barChart>
      <c:catAx>
        <c:axId val="1703893135"/>
        <c:scaling>
          <c:orientation val="minMax"/>
        </c:scaling>
        <c:delete val="0"/>
        <c:axPos val="l"/>
        <c:numFmt formatCode="General" sourceLinked="1"/>
        <c:majorTickMark val="none"/>
        <c:minorTickMark val="none"/>
        <c:tickLblPos val="nextTo"/>
        <c:spPr>
          <a:noFill/>
          <a:ln w="12700" cap="flat" cmpd="sng" algn="ctr">
            <a:noFill/>
            <a:round/>
          </a:ln>
          <a:effectLst/>
        </c:spPr>
        <c:txPr>
          <a:bodyPr rot="-60000000" spcFirstLastPara="1" vertOverflow="ellipsis" vert="horz" wrap="square" anchor="ctr" anchorCtr="1"/>
          <a:lstStyle/>
          <a:p>
            <a:pPr>
              <a:defRPr sz="1600" b="1" i="0" u="none" strike="noStrike" kern="1200" baseline="0">
                <a:solidFill>
                  <a:schemeClr val="bg1"/>
                </a:solidFill>
                <a:latin typeface="Gadugi" panose="020B0502040204020203" pitchFamily="34" charset="0"/>
                <a:ea typeface="Gadugi" panose="020B0502040204020203" pitchFamily="34" charset="0"/>
                <a:cs typeface="+mn-cs"/>
              </a:defRPr>
            </a:pPr>
            <a:endParaRPr lang="en-US"/>
          </a:p>
        </c:txPr>
        <c:crossAx val="1595655855"/>
        <c:crossesAt val="0"/>
        <c:auto val="1"/>
        <c:lblAlgn val="ctr"/>
        <c:lblOffset val="100"/>
        <c:noMultiLvlLbl val="0"/>
      </c:catAx>
      <c:valAx>
        <c:axId val="1595655855"/>
        <c:scaling>
          <c:orientation val="minMax"/>
        </c:scaling>
        <c:delete val="0"/>
        <c:axPos val="b"/>
        <c:majorGridlines>
          <c:spPr>
            <a:ln w="9525" cap="flat" cmpd="sng" algn="ctr">
              <a:solidFill>
                <a:schemeClr val="bg1"/>
              </a:solidFill>
              <a:round/>
            </a:ln>
            <a:effectLst/>
          </c:spPr>
        </c:majorGridlines>
        <c:numFmt formatCode="#,##0&quot; Units&quot;" sourceLinked="1"/>
        <c:majorTickMark val="none"/>
        <c:minorTickMark val="none"/>
        <c:tickLblPos val="nextTo"/>
        <c:spPr>
          <a:noFill/>
          <a:ln>
            <a:noFill/>
          </a:ln>
          <a:effectLst/>
        </c:spPr>
        <c:txPr>
          <a:bodyPr rot="-60000000" spcFirstLastPara="1" vertOverflow="ellipsis" vert="horz" wrap="square" anchor="ctr" anchorCtr="1"/>
          <a:lstStyle/>
          <a:p>
            <a:pPr>
              <a:defRPr sz="1600" b="1" i="0" u="none" strike="noStrike" kern="1200" baseline="0">
                <a:solidFill>
                  <a:schemeClr val="bg1"/>
                </a:solidFill>
                <a:latin typeface="Gadugi" panose="020B0502040204020203" pitchFamily="34" charset="0"/>
                <a:ea typeface="Gadugi" panose="020B0502040204020203" pitchFamily="34" charset="0"/>
                <a:cs typeface="+mn-cs"/>
              </a:defRPr>
            </a:pPr>
            <a:endParaRPr lang="en-US"/>
          </a:p>
        </c:txPr>
        <c:crossAx val="1703893135"/>
        <c:crosses val="autoZero"/>
        <c:crossBetween val="between"/>
        <c:dispUnits>
          <c:builtInUnit val="thousands"/>
          <c:dispUnitsLbl>
            <c:layout>
              <c:manualLayout>
                <c:xMode val="edge"/>
                <c:yMode val="edge"/>
                <c:x val="0.38270494056340737"/>
                <c:y val="0.92751111111111106"/>
              </c:manualLayout>
            </c:layout>
            <c:tx>
              <c:rich>
                <a:bodyPr rot="0" spcFirstLastPara="1" vertOverflow="ellipsis" vert="horz" wrap="square" anchor="ctr" anchorCtr="1"/>
                <a:lstStyle/>
                <a:p>
                  <a:pPr>
                    <a:defRPr sz="1600" b="1" i="0" u="none" strike="noStrike" kern="1200" cap="all" baseline="0">
                      <a:solidFill>
                        <a:schemeClr val="bg1"/>
                      </a:solidFill>
                      <a:latin typeface="Gadugi" panose="020B0502040204020203" pitchFamily="34" charset="0"/>
                      <a:ea typeface="Gadugi" panose="020B0502040204020203" pitchFamily="34" charset="0"/>
                      <a:cs typeface="+mn-cs"/>
                    </a:defRPr>
                  </a:pPr>
                  <a:r>
                    <a:rPr lang="en-IN" sz="1600">
                      <a:solidFill>
                        <a:schemeClr val="bg1"/>
                      </a:solidFill>
                    </a:rPr>
                    <a:t>Units sold</a:t>
                  </a:r>
                  <a:r>
                    <a:rPr lang="en-IN" sz="1600" baseline="0">
                      <a:solidFill>
                        <a:schemeClr val="bg1"/>
                      </a:solidFill>
                    </a:rPr>
                    <a:t> in thousands</a:t>
                  </a:r>
                  <a:endParaRPr lang="en-IN" sz="1600">
                    <a:solidFill>
                      <a:schemeClr val="bg1"/>
                    </a:solidFill>
                  </a:endParaRPr>
                </a:p>
              </c:rich>
            </c:tx>
            <c:spPr>
              <a:noFill/>
              <a:ln>
                <a:noFill/>
              </a:ln>
              <a:effectLst/>
            </c:spPr>
            <c:txPr>
              <a:bodyPr rot="0" spcFirstLastPara="1" vertOverflow="ellipsis" vert="horz" wrap="square" anchor="ctr" anchorCtr="1"/>
              <a:lstStyle/>
              <a:p>
                <a:pPr>
                  <a:defRPr sz="1600" b="1" i="0" u="none" strike="noStrike" kern="1200" cap="all" baseline="0">
                    <a:solidFill>
                      <a:schemeClr val="bg1"/>
                    </a:solidFill>
                    <a:latin typeface="Gadugi" panose="020B0502040204020203" pitchFamily="34" charset="0"/>
                    <a:ea typeface="Gadugi" panose="020B0502040204020203" pitchFamily="34" charset="0"/>
                    <a:cs typeface="+mn-cs"/>
                  </a:defRPr>
                </a:pPr>
                <a:endParaRPr lang="en-IN"/>
              </a:p>
            </c:txPr>
          </c:dispUnitsLbl>
        </c:dispUnits>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a:noFill/>
    </a:ln>
    <a:effectLst/>
  </c:spPr>
  <c:txPr>
    <a:bodyPr/>
    <a:lstStyle/>
    <a:p>
      <a:pPr>
        <a:defRPr sz="1400" b="1">
          <a:latin typeface="Gadugi" panose="020B0502040204020203" pitchFamily="34" charset="0"/>
          <a:ea typeface="Gadugi" panose="020B0502040204020203" pitchFamily="34" charset="0"/>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920" b="1" i="0" u="none" strike="noStrike" kern="1200" spc="100" baseline="0">
                <a:solidFill>
                  <a:schemeClr val="bg1"/>
                </a:solidFill>
                <a:effectLst>
                  <a:outerShdw blurRad="50800" dist="38100" dir="5400000" algn="t" rotWithShape="0">
                    <a:prstClr val="black">
                      <a:alpha val="40000"/>
                    </a:prstClr>
                  </a:outerShdw>
                </a:effectLst>
                <a:latin typeface="Gadugi" panose="020B0502040204020203" pitchFamily="34" charset="0"/>
                <a:ea typeface="Gadugi" panose="020B0502040204020203" pitchFamily="34" charset="0"/>
                <a:cs typeface="+mn-cs"/>
              </a:defRPr>
            </a:pPr>
            <a:r>
              <a:rPr lang="en-IN" sz="1920" b="1" i="0" u="none" strike="noStrike" baseline="0">
                <a:effectLst>
                  <a:outerShdw blurRad="50800" dist="38100" dir="5400000" algn="t" rotWithShape="0">
                    <a:prstClr val="black">
                      <a:alpha val="40000"/>
                    </a:prstClr>
                  </a:outerShdw>
                </a:effectLst>
              </a:rPr>
              <a:t>Average Selling Price of the OEMs</a:t>
            </a:r>
            <a:endParaRPr lang="en-US"/>
          </a:p>
        </c:rich>
      </c:tx>
      <c:overlay val="0"/>
      <c:spPr>
        <a:noFill/>
        <a:ln>
          <a:noFill/>
        </a:ln>
        <a:effectLst/>
      </c:spPr>
      <c:txPr>
        <a:bodyPr rot="0" spcFirstLastPara="1" vertOverflow="ellipsis" vert="horz" wrap="square" anchor="ctr" anchorCtr="1"/>
        <a:lstStyle/>
        <a:p>
          <a:pPr>
            <a:defRPr sz="1920" b="1" i="0" u="none" strike="noStrike" kern="1200" spc="100" baseline="0">
              <a:solidFill>
                <a:schemeClr val="bg1"/>
              </a:solidFill>
              <a:effectLst>
                <a:outerShdw blurRad="50800" dist="38100" dir="5400000" algn="t" rotWithShape="0">
                  <a:prstClr val="black">
                    <a:alpha val="40000"/>
                  </a:prstClr>
                </a:outerShdw>
              </a:effectLst>
              <a:latin typeface="Gadugi" panose="020B0502040204020203" pitchFamily="34" charset="0"/>
              <a:ea typeface="Gadugi" panose="020B0502040204020203" pitchFamily="34" charset="0"/>
              <a:cs typeface="+mn-cs"/>
            </a:defRPr>
          </a:pPr>
          <a:endParaRPr lang="en-US"/>
        </a:p>
      </c:txPr>
    </c:title>
    <c:autoTitleDeleted val="0"/>
    <c:plotArea>
      <c:layout/>
      <c:barChart>
        <c:barDir val="col"/>
        <c:grouping val="clustered"/>
        <c:varyColors val="0"/>
        <c:ser>
          <c:idx val="0"/>
          <c:order val="0"/>
          <c:tx>
            <c:strRef>
              <c:f>Data_Master!$C$1</c:f>
              <c:strCache>
                <c:ptCount val="1"/>
                <c:pt idx="0">
                  <c:v>Avg. Selling Price (₹ Lakh / Unit)</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0"/>
            <c:invertIfNegative val="0"/>
            <c:bubble3D val="0"/>
            <c:spPr>
              <a:solidFill>
                <a:schemeClr val="tx1">
                  <a:lumMod val="50000"/>
                  <a:lumOff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4-F005-43A1-B517-D7ABE57DE934}"/>
              </c:ext>
            </c:extLst>
          </c:dPt>
          <c:dPt>
            <c:idx val="1"/>
            <c:invertIfNegative val="0"/>
            <c:bubble3D val="0"/>
            <c:spPr>
              <a:solidFill>
                <a:srgbClr val="3A19FF"/>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F005-43A1-B517-D7ABE57DE934}"/>
              </c:ext>
            </c:extLst>
          </c:dPt>
          <c:dPt>
            <c:idx val="2"/>
            <c:invertIfNegative val="0"/>
            <c:bubble3D val="0"/>
            <c:spPr>
              <a:solidFill>
                <a:srgbClr val="FF0000"/>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2-F005-43A1-B517-D7ABE57DE934}"/>
              </c:ext>
            </c:extLst>
          </c:dPt>
          <c:dPt>
            <c:idx val="3"/>
            <c:invertIfNegative val="0"/>
            <c:bubble3D val="0"/>
            <c:spPr>
              <a:solidFill>
                <a:srgbClr val="FFC000"/>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F005-43A1-B517-D7ABE57DE934}"/>
              </c:ext>
            </c:extLst>
          </c:dPt>
          <c:dLbls>
            <c:dLbl>
              <c:idx val="0"/>
              <c:tx>
                <c:rich>
                  <a:bodyPr rot="0" spcFirstLastPara="1" vertOverflow="clip" horzOverflow="clip" vert="horz" wrap="square" lIns="38100" tIns="19050" rIns="38100" bIns="19050" anchor="ctr" anchorCtr="1">
                    <a:spAutoFit/>
                  </a:bodyPr>
                  <a:lstStyle/>
                  <a:p>
                    <a:pPr>
                      <a:defRPr sz="1600" b="1" i="0" u="none" strike="noStrike" kern="1200" baseline="0">
                        <a:solidFill>
                          <a:schemeClr val="tx1"/>
                        </a:solidFill>
                        <a:latin typeface="Gadugi" panose="020B0502040204020203" pitchFamily="34" charset="0"/>
                        <a:ea typeface="Gadugi" panose="020B0502040204020203" pitchFamily="34" charset="0"/>
                        <a:cs typeface="+mn-cs"/>
                      </a:defRPr>
                    </a:pPr>
                    <a:fld id="{DCEC1011-B87D-4F47-8B01-2E19353664FF}" type="CATEGORYNAME">
                      <a:rPr lang="en-US">
                        <a:solidFill>
                          <a:schemeClr val="tx1"/>
                        </a:solidFill>
                      </a:rPr>
                      <a:pPr>
                        <a:defRPr>
                          <a:solidFill>
                            <a:schemeClr val="tx1"/>
                          </a:solidFill>
                        </a:defRPr>
                      </a:pPr>
                      <a:t>[CATEGORY NAME]</a:t>
                    </a:fld>
                    <a:r>
                      <a:rPr lang="en-US" baseline="0">
                        <a:solidFill>
                          <a:schemeClr val="tx1"/>
                        </a:solidFill>
                      </a:rPr>
                      <a:t> </a:t>
                    </a:r>
                    <a:fld id="{B6E9896A-13C2-4CCE-8186-D2AAA2A31F65}" type="VALUE">
                      <a:rPr lang="en-US" baseline="0">
                        <a:solidFill>
                          <a:schemeClr val="tx1"/>
                        </a:solidFill>
                      </a:rPr>
                      <a:pPr>
                        <a:defRPr>
                          <a:solidFill>
                            <a:schemeClr val="tx1"/>
                          </a:solidFill>
                        </a:defRPr>
                      </a:pPr>
                      <a:t>[VALUE]</a:t>
                    </a:fld>
                    <a:endParaRPr lang="en-US" baseline="0">
                      <a:solidFill>
                        <a:schemeClr val="tx1"/>
                      </a:solidFill>
                    </a:endParaRPr>
                  </a:p>
                </c:rich>
              </c:tx>
              <c:spPr>
                <a:solidFill>
                  <a:sysClr val="windowText" lastClr="000000">
                    <a:lumMod val="50000"/>
                    <a:lumOff val="50000"/>
                  </a:sysClr>
                </a:solidFill>
                <a:ln>
                  <a:noFill/>
                </a:ln>
                <a:effectLst/>
              </c:spPr>
              <c:txPr>
                <a:bodyPr rot="0" spcFirstLastPara="1" vertOverflow="clip" horzOverflow="clip" vert="horz" wrap="square" lIns="38100" tIns="19050" rIns="38100" bIns="19050" anchor="ctr" anchorCtr="1">
                  <a:spAutoFit/>
                </a:bodyPr>
                <a:lstStyle/>
                <a:p>
                  <a:pPr>
                    <a:defRPr sz="1600" b="1" i="0" u="none" strike="noStrike" kern="1200" baseline="0">
                      <a:solidFill>
                        <a:schemeClr val="tx1"/>
                      </a:solidFill>
                      <a:latin typeface="Gadugi" panose="020B0502040204020203" pitchFamily="34" charset="0"/>
                      <a:ea typeface="Gadugi" panose="020B0502040204020203" pitchFamily="34" charset="0"/>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 xmlns:c16="http://schemas.microsoft.com/office/drawing/2014/chart" uri="{C3380CC4-5D6E-409C-BE32-E72D297353CC}">
                  <c16:uniqueId val="{00000004-F005-43A1-B517-D7ABE57DE934}"/>
                </c:ext>
              </c:extLst>
            </c:dLbl>
            <c:dLbl>
              <c:idx val="1"/>
              <c:tx>
                <c:rich>
                  <a:bodyPr rot="0" spcFirstLastPara="1" vertOverflow="clip" horzOverflow="clip" vert="horz" wrap="square" lIns="38100" tIns="19050" rIns="38100" bIns="19050" anchor="ctr" anchorCtr="1">
                    <a:spAutoFit/>
                  </a:bodyPr>
                  <a:lstStyle/>
                  <a:p>
                    <a:pPr>
                      <a:defRPr sz="1600" b="1" i="0" u="none" strike="noStrike" kern="1200" baseline="0">
                        <a:solidFill>
                          <a:schemeClr val="tx1"/>
                        </a:solidFill>
                        <a:latin typeface="Gadugi" panose="020B0502040204020203" pitchFamily="34" charset="0"/>
                        <a:ea typeface="Gadugi" panose="020B0502040204020203" pitchFamily="34" charset="0"/>
                        <a:cs typeface="+mn-cs"/>
                      </a:defRPr>
                    </a:pPr>
                    <a:fld id="{995C433E-BA86-4BCF-B7DA-CBC0E62FDE4B}" type="CATEGORYNAME">
                      <a:rPr lang="en-US">
                        <a:solidFill>
                          <a:schemeClr val="tx1"/>
                        </a:solidFill>
                      </a:rPr>
                      <a:pPr>
                        <a:defRPr>
                          <a:solidFill>
                            <a:schemeClr val="tx1"/>
                          </a:solidFill>
                        </a:defRPr>
                      </a:pPr>
                      <a:t>[CATEGORY NAME]</a:t>
                    </a:fld>
                    <a:r>
                      <a:rPr lang="en-US" baseline="0">
                        <a:solidFill>
                          <a:schemeClr val="tx1"/>
                        </a:solidFill>
                      </a:rPr>
                      <a:t> </a:t>
                    </a:r>
                    <a:fld id="{7CB42E4C-2982-49E1-85CC-B2D9F9DB5FB8}" type="VALUE">
                      <a:rPr lang="en-US" baseline="0">
                        <a:solidFill>
                          <a:schemeClr val="tx1"/>
                        </a:solidFill>
                      </a:rPr>
                      <a:pPr>
                        <a:defRPr>
                          <a:solidFill>
                            <a:schemeClr val="tx1"/>
                          </a:solidFill>
                        </a:defRPr>
                      </a:pPr>
                      <a:t>[VALUE]</a:t>
                    </a:fld>
                    <a:endParaRPr lang="en-US" baseline="0">
                      <a:solidFill>
                        <a:schemeClr val="tx1"/>
                      </a:solidFill>
                    </a:endParaRPr>
                  </a:p>
                </c:rich>
              </c:tx>
              <c:spPr>
                <a:solidFill>
                  <a:srgbClr val="0000FF"/>
                </a:solidFill>
                <a:ln>
                  <a:noFill/>
                </a:ln>
                <a:effectLst/>
              </c:spPr>
              <c:txPr>
                <a:bodyPr rot="0" spcFirstLastPara="1" vertOverflow="clip" horzOverflow="clip" vert="horz" wrap="square" lIns="38100" tIns="19050" rIns="38100" bIns="19050" anchor="ctr" anchorCtr="1">
                  <a:spAutoFit/>
                </a:bodyPr>
                <a:lstStyle/>
                <a:p>
                  <a:pPr>
                    <a:defRPr sz="1600" b="1" i="0" u="none" strike="noStrike" kern="1200" baseline="0">
                      <a:solidFill>
                        <a:schemeClr val="tx1"/>
                      </a:solidFill>
                      <a:latin typeface="Gadugi" panose="020B0502040204020203" pitchFamily="34" charset="0"/>
                      <a:ea typeface="Gadugi" panose="020B0502040204020203" pitchFamily="34" charset="0"/>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 xmlns:c16="http://schemas.microsoft.com/office/drawing/2014/chart" uri="{C3380CC4-5D6E-409C-BE32-E72D297353CC}">
                  <c16:uniqueId val="{00000003-F005-43A1-B517-D7ABE57DE934}"/>
                </c:ext>
              </c:extLst>
            </c:dLbl>
            <c:dLbl>
              <c:idx val="2"/>
              <c:tx>
                <c:rich>
                  <a:bodyPr rot="0" spcFirstLastPara="1" vertOverflow="clip" horzOverflow="clip" vert="horz" wrap="square" lIns="38100" tIns="19050" rIns="38100" bIns="19050" anchor="ctr" anchorCtr="1">
                    <a:spAutoFit/>
                  </a:bodyPr>
                  <a:lstStyle/>
                  <a:p>
                    <a:pPr>
                      <a:defRPr sz="1600" b="1" i="0" u="none" strike="noStrike" kern="1200" baseline="0">
                        <a:solidFill>
                          <a:schemeClr val="tx1"/>
                        </a:solidFill>
                        <a:latin typeface="Gadugi" panose="020B0502040204020203" pitchFamily="34" charset="0"/>
                        <a:ea typeface="Gadugi" panose="020B0502040204020203" pitchFamily="34" charset="0"/>
                        <a:cs typeface="+mn-cs"/>
                      </a:defRPr>
                    </a:pPr>
                    <a:fld id="{31D19AC1-DC18-4CBF-AF93-26FC49DE5FA4}" type="CATEGORYNAME">
                      <a:rPr lang="en-US">
                        <a:solidFill>
                          <a:schemeClr val="tx1"/>
                        </a:solidFill>
                      </a:rPr>
                      <a:pPr>
                        <a:defRPr>
                          <a:solidFill>
                            <a:schemeClr val="tx1"/>
                          </a:solidFill>
                        </a:defRPr>
                      </a:pPr>
                      <a:t>[CATEGORY NAME]</a:t>
                    </a:fld>
                    <a:r>
                      <a:rPr lang="en-US" baseline="0">
                        <a:solidFill>
                          <a:schemeClr val="tx1"/>
                        </a:solidFill>
                      </a:rPr>
                      <a:t> </a:t>
                    </a:r>
                    <a:fld id="{B5C3AA8F-B488-4BF3-A438-3A0A02EE9E93}" type="VALUE">
                      <a:rPr lang="en-US" baseline="0">
                        <a:solidFill>
                          <a:schemeClr val="tx1"/>
                        </a:solidFill>
                      </a:rPr>
                      <a:pPr>
                        <a:defRPr>
                          <a:solidFill>
                            <a:schemeClr val="tx1"/>
                          </a:solidFill>
                        </a:defRPr>
                      </a:pPr>
                      <a:t>[VALUE]</a:t>
                    </a:fld>
                    <a:endParaRPr lang="en-US" baseline="0">
                      <a:solidFill>
                        <a:schemeClr val="tx1"/>
                      </a:solidFill>
                    </a:endParaRPr>
                  </a:p>
                </c:rich>
              </c:tx>
              <c:spPr>
                <a:solidFill>
                  <a:srgbClr val="FF0000"/>
                </a:solidFill>
                <a:ln>
                  <a:noFill/>
                </a:ln>
                <a:effectLst/>
              </c:spPr>
              <c:txPr>
                <a:bodyPr rot="0" spcFirstLastPara="1" vertOverflow="clip" horzOverflow="clip" vert="horz" wrap="square" lIns="38100" tIns="19050" rIns="38100" bIns="19050" anchor="ctr" anchorCtr="1">
                  <a:spAutoFit/>
                </a:bodyPr>
                <a:lstStyle/>
                <a:p>
                  <a:pPr>
                    <a:defRPr sz="1600" b="1" i="0" u="none" strike="noStrike" kern="1200" baseline="0">
                      <a:solidFill>
                        <a:schemeClr val="tx1"/>
                      </a:solidFill>
                      <a:latin typeface="Gadugi" panose="020B0502040204020203" pitchFamily="34" charset="0"/>
                      <a:ea typeface="Gadugi" panose="020B0502040204020203" pitchFamily="34" charset="0"/>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 xmlns:c16="http://schemas.microsoft.com/office/drawing/2014/chart" uri="{C3380CC4-5D6E-409C-BE32-E72D297353CC}">
                  <c16:uniqueId val="{00000002-F005-43A1-B517-D7ABE57DE934}"/>
                </c:ext>
              </c:extLst>
            </c:dLbl>
            <c:dLbl>
              <c:idx val="3"/>
              <c:layout>
                <c:manualLayout>
                  <c:x val="-9.5981094617084164E-2"/>
                  <c:y val="0.10288291291110023"/>
                </c:manualLayout>
              </c:layout>
              <c:tx>
                <c:rich>
                  <a:bodyPr rot="0" spcFirstLastPara="1" vertOverflow="clip" horzOverflow="clip" vert="horz" wrap="square" lIns="38100" tIns="19050" rIns="38100" bIns="19050" anchor="ctr" anchorCtr="1">
                    <a:spAutoFit/>
                  </a:bodyPr>
                  <a:lstStyle/>
                  <a:p>
                    <a:pPr>
                      <a:defRPr sz="1600" b="1" i="0" u="none" strike="noStrike" kern="1200" baseline="0">
                        <a:solidFill>
                          <a:schemeClr val="tx1"/>
                        </a:solidFill>
                        <a:latin typeface="Gadugi" panose="020B0502040204020203" pitchFamily="34" charset="0"/>
                        <a:ea typeface="Gadugi" panose="020B0502040204020203" pitchFamily="34" charset="0"/>
                        <a:cs typeface="+mn-cs"/>
                      </a:defRPr>
                    </a:pPr>
                    <a:fld id="{6AE9A83F-98D4-4A68-8C37-A3B7BFEB0667}" type="CATEGORYNAME">
                      <a:rPr lang="en-US">
                        <a:solidFill>
                          <a:schemeClr val="tx1"/>
                        </a:solidFill>
                      </a:rPr>
                      <a:pPr>
                        <a:defRPr>
                          <a:solidFill>
                            <a:schemeClr val="tx1"/>
                          </a:solidFill>
                        </a:defRPr>
                      </a:pPr>
                      <a:t>[CATEGORY NAME]</a:t>
                    </a:fld>
                    <a:r>
                      <a:rPr lang="en-US" baseline="0">
                        <a:solidFill>
                          <a:schemeClr val="tx1"/>
                        </a:solidFill>
                      </a:rPr>
                      <a:t> </a:t>
                    </a:r>
                    <a:fld id="{98076CC0-1091-4EE1-B650-25889DCB5F9F}" type="VALUE">
                      <a:rPr lang="en-US" baseline="0">
                        <a:solidFill>
                          <a:schemeClr val="tx1"/>
                        </a:solidFill>
                      </a:rPr>
                      <a:pPr>
                        <a:defRPr>
                          <a:solidFill>
                            <a:schemeClr val="tx1"/>
                          </a:solidFill>
                        </a:defRPr>
                      </a:pPr>
                      <a:t>[VALUE]</a:t>
                    </a:fld>
                    <a:endParaRPr lang="en-US" baseline="0">
                      <a:solidFill>
                        <a:schemeClr val="tx1"/>
                      </a:solidFill>
                    </a:endParaRPr>
                  </a:p>
                </c:rich>
              </c:tx>
              <c:spPr>
                <a:solidFill>
                  <a:srgbClr val="FFC000"/>
                </a:solidFill>
                <a:ln>
                  <a:noFill/>
                </a:ln>
                <a:effectLst/>
              </c:spPr>
              <c:txPr>
                <a:bodyPr rot="0" spcFirstLastPara="1" vertOverflow="clip" horzOverflow="clip" vert="horz" wrap="square" lIns="38100" tIns="19050" rIns="38100" bIns="19050" anchor="ctr" anchorCtr="1">
                  <a:spAutoFit/>
                </a:bodyPr>
                <a:lstStyle/>
                <a:p>
                  <a:pPr>
                    <a:defRPr sz="1600" b="1" i="0" u="none" strike="noStrike" kern="1200" baseline="0">
                      <a:solidFill>
                        <a:schemeClr val="tx1"/>
                      </a:solidFill>
                      <a:latin typeface="Gadugi" panose="020B0502040204020203" pitchFamily="34" charset="0"/>
                      <a:ea typeface="Gadugi" panose="020B0502040204020203" pitchFamily="34" charset="0"/>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 xmlns:c16="http://schemas.microsoft.com/office/drawing/2014/chart" uri="{C3380CC4-5D6E-409C-BE32-E72D297353CC}">
                  <c16:uniqueId val="{00000001-F005-43A1-B517-D7ABE57DE934}"/>
                </c:ext>
              </c:extLst>
            </c:dLbl>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1600" b="1" i="0" u="none" strike="noStrike" kern="1200" baseline="0">
                    <a:solidFill>
                      <a:schemeClr val="tx1"/>
                    </a:solidFill>
                    <a:latin typeface="Gadugi" panose="020B0502040204020203" pitchFamily="34" charset="0"/>
                    <a:ea typeface="Gadugi" panose="020B0502040204020203" pitchFamily="34" charset="0"/>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Data_Master!$A$2:$A$5</c:f>
              <c:strCache>
                <c:ptCount val="4"/>
                <c:pt idx="0">
                  <c:v>Tata Motors</c:v>
                </c:pt>
                <c:pt idx="1">
                  <c:v>Ashok Leyland</c:v>
                </c:pt>
                <c:pt idx="2">
                  <c:v>Eicher (VECV)</c:v>
                </c:pt>
                <c:pt idx="3">
                  <c:v>BharatBenz</c:v>
                </c:pt>
              </c:strCache>
            </c:strRef>
          </c:cat>
          <c:val>
            <c:numRef>
              <c:f>Data_Master!$C$2:$C$5</c:f>
              <c:numCache>
                <c:formatCode>"₹"#,##0.00" L"</c:formatCode>
                <c:ptCount val="4"/>
                <c:pt idx="0">
                  <c:v>18.5</c:v>
                </c:pt>
                <c:pt idx="1">
                  <c:v>21</c:v>
                </c:pt>
                <c:pt idx="2">
                  <c:v>16.2</c:v>
                </c:pt>
                <c:pt idx="3">
                  <c:v>28.5</c:v>
                </c:pt>
              </c:numCache>
            </c:numRef>
          </c:val>
          <c:extLst>
            <c:ext xmlns:c16="http://schemas.microsoft.com/office/drawing/2014/chart" uri="{C3380CC4-5D6E-409C-BE32-E72D297353CC}">
              <c16:uniqueId val="{00000000-F005-43A1-B517-D7ABE57DE934}"/>
            </c:ext>
          </c:extLst>
        </c:ser>
        <c:dLbls>
          <c:showLegendKey val="0"/>
          <c:showVal val="0"/>
          <c:showCatName val="0"/>
          <c:showSerName val="0"/>
          <c:showPercent val="0"/>
          <c:showBubbleSize val="0"/>
        </c:dLbls>
        <c:gapWidth val="100"/>
        <c:overlap val="-24"/>
        <c:axId val="2041403487"/>
        <c:axId val="1595675535"/>
      </c:barChart>
      <c:catAx>
        <c:axId val="2041403487"/>
        <c:scaling>
          <c:orientation val="minMax"/>
        </c:scaling>
        <c:delete val="0"/>
        <c:axPos val="b"/>
        <c:numFmt formatCode="General" sourceLinked="1"/>
        <c:majorTickMark val="none"/>
        <c:minorTickMark val="none"/>
        <c:tickLblPos val="nextTo"/>
        <c:spPr>
          <a:noFill/>
          <a:ln w="12700" cap="flat" cmpd="sng" algn="ctr">
            <a:noFill/>
            <a:round/>
          </a:ln>
          <a:effectLst/>
        </c:spPr>
        <c:txPr>
          <a:bodyPr rot="-60000000" spcFirstLastPara="1" vertOverflow="ellipsis" vert="horz" wrap="square" anchor="ctr" anchorCtr="1"/>
          <a:lstStyle/>
          <a:p>
            <a:pPr>
              <a:defRPr sz="1600" b="1" i="0" u="none" strike="noStrike" kern="1200" baseline="0">
                <a:solidFill>
                  <a:schemeClr val="bg1"/>
                </a:solidFill>
                <a:latin typeface="Gadugi" panose="020B0502040204020203" pitchFamily="34" charset="0"/>
                <a:ea typeface="Gadugi" panose="020B0502040204020203" pitchFamily="34" charset="0"/>
                <a:cs typeface="+mn-cs"/>
              </a:defRPr>
            </a:pPr>
            <a:endParaRPr lang="en-US"/>
          </a:p>
        </c:txPr>
        <c:crossAx val="1595675535"/>
        <c:crossesAt val="0"/>
        <c:auto val="1"/>
        <c:lblAlgn val="ctr"/>
        <c:lblOffset val="100"/>
        <c:noMultiLvlLbl val="0"/>
      </c:catAx>
      <c:valAx>
        <c:axId val="1595675535"/>
        <c:scaling>
          <c:orientation val="minMax"/>
        </c:scaling>
        <c:delete val="0"/>
        <c:axPos val="l"/>
        <c:majorGridlines>
          <c:spPr>
            <a:ln w="9525" cap="flat" cmpd="sng" algn="ctr">
              <a:solidFill>
                <a:schemeClr val="bg1"/>
              </a:solidFill>
              <a:round/>
            </a:ln>
            <a:effectLst/>
          </c:spPr>
        </c:majorGridlines>
        <c:title>
          <c:tx>
            <c:rich>
              <a:bodyPr rot="-5400000" spcFirstLastPara="1" vertOverflow="ellipsis" vert="horz" wrap="square" anchor="ctr" anchorCtr="1"/>
              <a:lstStyle/>
              <a:p>
                <a:pPr>
                  <a:defRPr sz="1600" b="1" i="0" u="none" strike="noStrike" kern="1200" cap="all" baseline="0">
                    <a:solidFill>
                      <a:schemeClr val="bg1"/>
                    </a:solidFill>
                    <a:latin typeface="Gadugi" panose="020B0502040204020203" pitchFamily="34" charset="0"/>
                    <a:ea typeface="Gadugi" panose="020B0502040204020203" pitchFamily="34" charset="0"/>
                    <a:cs typeface="+mn-cs"/>
                  </a:defRPr>
                </a:pPr>
                <a:r>
                  <a:rPr lang="en-IN" baseline="0"/>
                  <a:t>Average selling prices in ₹ Lakhs/unit</a:t>
                </a:r>
                <a:endParaRPr lang="en-IN"/>
              </a:p>
            </c:rich>
          </c:tx>
          <c:overlay val="0"/>
          <c:spPr>
            <a:noFill/>
            <a:ln>
              <a:noFill/>
            </a:ln>
            <a:effectLst/>
          </c:spPr>
          <c:txPr>
            <a:bodyPr rot="-5400000" spcFirstLastPara="1" vertOverflow="ellipsis" vert="horz" wrap="square" anchor="ctr" anchorCtr="1"/>
            <a:lstStyle/>
            <a:p>
              <a:pPr>
                <a:defRPr sz="1600" b="1" i="0" u="none" strike="noStrike" kern="1200" cap="all" baseline="0">
                  <a:solidFill>
                    <a:schemeClr val="bg1"/>
                  </a:solidFill>
                  <a:latin typeface="Gadugi" panose="020B0502040204020203" pitchFamily="34" charset="0"/>
                  <a:ea typeface="Gadugi" panose="020B0502040204020203" pitchFamily="34" charset="0"/>
                  <a:cs typeface="+mn-cs"/>
                </a:defRPr>
              </a:pPr>
              <a:endParaRPr lang="en-IN"/>
            </a:p>
          </c:txPr>
        </c:title>
        <c:numFmt formatCode="\₹0.00&quot; Lakh&quot;" sourceLinked="0"/>
        <c:majorTickMark val="none"/>
        <c:minorTickMark val="none"/>
        <c:tickLblPos val="nextTo"/>
        <c:spPr>
          <a:noFill/>
          <a:ln>
            <a:noFill/>
          </a:ln>
          <a:effectLst/>
        </c:spPr>
        <c:txPr>
          <a:bodyPr rot="-60000000" spcFirstLastPara="1" vertOverflow="ellipsis" vert="horz" wrap="square" anchor="ctr" anchorCtr="1"/>
          <a:lstStyle/>
          <a:p>
            <a:pPr>
              <a:defRPr sz="1600" b="1" i="0" u="none" strike="noStrike" kern="1200" baseline="0">
                <a:solidFill>
                  <a:schemeClr val="bg1"/>
                </a:solidFill>
                <a:latin typeface="Gadugi" panose="020B0502040204020203" pitchFamily="34" charset="0"/>
                <a:ea typeface="Gadugi" panose="020B0502040204020203" pitchFamily="34" charset="0"/>
                <a:cs typeface="+mn-cs"/>
              </a:defRPr>
            </a:pPr>
            <a:endParaRPr lang="en-US"/>
          </a:p>
        </c:txPr>
        <c:crossAx val="20414034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000000"/>
    </a:solidFill>
    <a:ln>
      <a:noFill/>
    </a:ln>
    <a:effectLst/>
  </c:spPr>
  <c:txPr>
    <a:bodyPr/>
    <a:lstStyle/>
    <a:p>
      <a:pPr>
        <a:defRPr sz="1600" b="1">
          <a:solidFill>
            <a:schemeClr val="bg1"/>
          </a:solidFill>
          <a:latin typeface="Gadugi" panose="020B0502040204020203" pitchFamily="34" charset="0"/>
          <a:ea typeface="Gadugi" panose="020B0502040204020203" pitchFamily="34" charset="0"/>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000" b="1" i="0" u="none" strike="noStrike" kern="1200" spc="100" baseline="0">
                <a:solidFill>
                  <a:schemeClr val="bg1"/>
                </a:solidFill>
                <a:effectLst>
                  <a:outerShdw blurRad="50800" dist="38100" dir="5400000" algn="t" rotWithShape="0">
                    <a:prstClr val="black">
                      <a:alpha val="40000"/>
                    </a:prstClr>
                  </a:outerShdw>
                </a:effectLst>
                <a:latin typeface="Gadugi" panose="020B0502040204020203" pitchFamily="34" charset="0"/>
                <a:ea typeface="Gadugi" panose="020B0502040204020203" pitchFamily="34" charset="0"/>
                <a:cs typeface="+mn-cs"/>
              </a:defRPr>
            </a:pPr>
            <a:r>
              <a:rPr lang="en-IN" sz="2000"/>
              <a:t>Total Revenue (₹ Cr) vs. YoY Revenue Growth (%)</a:t>
            </a:r>
          </a:p>
        </c:rich>
      </c:tx>
      <c:overlay val="0"/>
      <c:spPr>
        <a:noFill/>
        <a:ln>
          <a:noFill/>
        </a:ln>
        <a:effectLst/>
      </c:spPr>
      <c:txPr>
        <a:bodyPr rot="0" spcFirstLastPara="1" vertOverflow="ellipsis" vert="horz" wrap="square" anchor="ctr" anchorCtr="1"/>
        <a:lstStyle/>
        <a:p>
          <a:pPr>
            <a:defRPr sz="2000" b="1" i="0" u="none" strike="noStrike" kern="1200" spc="100" baseline="0">
              <a:solidFill>
                <a:schemeClr val="bg1"/>
              </a:solidFill>
              <a:effectLst>
                <a:outerShdw blurRad="50800" dist="38100" dir="5400000" algn="t" rotWithShape="0">
                  <a:prstClr val="black">
                    <a:alpha val="40000"/>
                  </a:prstClr>
                </a:outerShdw>
              </a:effectLst>
              <a:latin typeface="Gadugi" panose="020B0502040204020203" pitchFamily="34" charset="0"/>
              <a:ea typeface="Gadugi" panose="020B0502040204020203" pitchFamily="34" charset="0"/>
              <a:cs typeface="+mn-cs"/>
            </a:defRPr>
          </a:pPr>
          <a:endParaRPr lang="en-IN"/>
        </a:p>
      </c:txPr>
    </c:title>
    <c:autoTitleDeleted val="0"/>
    <c:plotArea>
      <c:layout/>
      <c:barChart>
        <c:barDir val="col"/>
        <c:grouping val="clustered"/>
        <c:varyColors val="0"/>
        <c:ser>
          <c:idx val="0"/>
          <c:order val="0"/>
          <c:tx>
            <c:strRef>
              <c:f>Data_Master!$D$1</c:f>
              <c:strCache>
                <c:ptCount val="1"/>
                <c:pt idx="0">
                  <c:v>Total Revenue (₹ Cr)</c:v>
                </c:pt>
              </c:strCache>
            </c:strRef>
          </c:tx>
          <c:spPr>
            <a:solidFill>
              <a:srgbClr val="0000FF"/>
            </a:solidFill>
            <a:ln>
              <a:noFill/>
            </a:ln>
            <a:effectLst>
              <a:outerShdw blurRad="57150" dist="19050" dir="5400000" algn="ctr" rotWithShape="0">
                <a:srgbClr val="000000">
                  <a:alpha val="63000"/>
                </a:srgbClr>
              </a:outerShdw>
            </a:effectLst>
          </c:spPr>
          <c:invertIfNegative val="0"/>
          <c:dLbls>
            <c:spPr>
              <a:solidFill>
                <a:srgbClr val="A02B93">
                  <a:lumMod val="50000"/>
                </a:srgbClr>
              </a:solidFill>
              <a:ln>
                <a:noFill/>
              </a:ln>
              <a:effectLst/>
            </c:spPr>
            <c:txPr>
              <a:bodyPr rot="0" spcFirstLastPara="1" vertOverflow="clip" horzOverflow="clip" vert="horz" wrap="square" lIns="36576" tIns="18288" rIns="36576" bIns="18288" anchor="ctr" anchorCtr="1">
                <a:spAutoFit/>
              </a:bodyPr>
              <a:lstStyle/>
              <a:p>
                <a:pPr>
                  <a:defRPr sz="1600" b="1" i="0" u="none" strike="noStrike" kern="1200" baseline="0">
                    <a:solidFill>
                      <a:schemeClr val="bg1"/>
                    </a:solidFill>
                    <a:latin typeface="Gadugi" panose="020B0502040204020203" pitchFamily="34" charset="0"/>
                    <a:ea typeface="Gadugi" panose="020B0502040204020203" pitchFamily="34" charset="0"/>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1"/>
                <c15:leaderLines>
                  <c:spPr>
                    <a:ln w="9525">
                      <a:solidFill>
                        <a:schemeClr val="lt1">
                          <a:lumMod val="95000"/>
                          <a:alpha val="54000"/>
                        </a:schemeClr>
                      </a:solidFill>
                    </a:ln>
                    <a:effectLst/>
                  </c:spPr>
                </c15:leaderLines>
              </c:ext>
            </c:extLst>
          </c:dLbls>
          <c:cat>
            <c:strRef>
              <c:f>Data_Master!$A$2:$A$5</c:f>
              <c:strCache>
                <c:ptCount val="4"/>
                <c:pt idx="0">
                  <c:v>Tata Motors</c:v>
                </c:pt>
                <c:pt idx="1">
                  <c:v>Ashok Leyland</c:v>
                </c:pt>
                <c:pt idx="2">
                  <c:v>Eicher (VECV)</c:v>
                </c:pt>
                <c:pt idx="3">
                  <c:v>BharatBenz</c:v>
                </c:pt>
              </c:strCache>
            </c:strRef>
          </c:cat>
          <c:val>
            <c:numRef>
              <c:f>Data_Master!$D$2:$D$5</c:f>
              <c:numCache>
                <c:formatCode>"₹"#,##0.00" Cr"</c:formatCode>
                <c:ptCount val="4"/>
                <c:pt idx="0">
                  <c:v>7333.59</c:v>
                </c:pt>
                <c:pt idx="1">
                  <c:v>4113.8999999999996</c:v>
                </c:pt>
                <c:pt idx="2">
                  <c:v>1335.04</c:v>
                </c:pt>
                <c:pt idx="3">
                  <c:v>475.1</c:v>
                </c:pt>
              </c:numCache>
            </c:numRef>
          </c:val>
          <c:extLst>
            <c:ext xmlns:c16="http://schemas.microsoft.com/office/drawing/2014/chart" uri="{C3380CC4-5D6E-409C-BE32-E72D297353CC}">
              <c16:uniqueId val="{00000000-AC44-4B6A-9956-47D2EFC6A1DC}"/>
            </c:ext>
          </c:extLst>
        </c:ser>
        <c:dLbls>
          <c:showLegendKey val="0"/>
          <c:showVal val="0"/>
          <c:showCatName val="0"/>
          <c:showSerName val="0"/>
          <c:showPercent val="0"/>
          <c:showBubbleSize val="0"/>
        </c:dLbls>
        <c:gapWidth val="219"/>
        <c:overlap val="-27"/>
        <c:axId val="2041377967"/>
        <c:axId val="1595559855"/>
      </c:barChart>
      <c:lineChart>
        <c:grouping val="standard"/>
        <c:varyColors val="0"/>
        <c:ser>
          <c:idx val="1"/>
          <c:order val="1"/>
          <c:tx>
            <c:strRef>
              <c:f>Data_Master!$G$1</c:f>
              <c:strCache>
                <c:ptCount val="1"/>
                <c:pt idx="0">
                  <c:v>YoY Revenue Growth (%)</c:v>
                </c:pt>
              </c:strCache>
            </c:strRef>
          </c:tx>
          <c:spPr>
            <a:ln w="34925" cap="rnd">
              <a:solidFill>
                <a:srgbClr val="F6560E"/>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s>
            <c:dLbl>
              <c:idx val="0"/>
              <c:layout>
                <c:manualLayout>
                  <c:x val="7.7631578947368371E-2"/>
                  <c:y val="-1.188051531875516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AC44-4B6A-9956-47D2EFC6A1DC}"/>
                </c:ext>
              </c:extLst>
            </c:dLbl>
            <c:spPr>
              <a:solidFill>
                <a:srgbClr val="990000"/>
              </a:solidFill>
              <a:ln>
                <a:noFill/>
              </a:ln>
              <a:effectLst/>
            </c:spPr>
            <c:txPr>
              <a:bodyPr rot="0" spcFirstLastPara="1" vertOverflow="clip" horzOverflow="clip" vert="horz" wrap="square" lIns="36576" tIns="18288" rIns="36576" bIns="18288" anchor="ctr" anchorCtr="1">
                <a:spAutoFit/>
              </a:bodyPr>
              <a:lstStyle/>
              <a:p>
                <a:pPr>
                  <a:defRPr sz="1600" b="1" i="0" u="none" strike="noStrike" kern="1200" baseline="0">
                    <a:solidFill>
                      <a:schemeClr val="bg1"/>
                    </a:solidFill>
                    <a:latin typeface="Gadugi" panose="020B0502040204020203" pitchFamily="34" charset="0"/>
                    <a:ea typeface="Gadugi" panose="020B0502040204020203" pitchFamily="34" charset="0"/>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1"/>
                <c15:leaderLines>
                  <c:spPr>
                    <a:ln w="9525">
                      <a:solidFill>
                        <a:schemeClr val="lt1">
                          <a:lumMod val="95000"/>
                          <a:alpha val="54000"/>
                        </a:schemeClr>
                      </a:solidFill>
                    </a:ln>
                    <a:effectLst/>
                  </c:spPr>
                </c15:leaderLines>
              </c:ext>
            </c:extLst>
          </c:dLbls>
          <c:cat>
            <c:strRef>
              <c:f>Data_Master!$A$2:$A$5</c:f>
              <c:strCache>
                <c:ptCount val="4"/>
                <c:pt idx="0">
                  <c:v>Tata Motors</c:v>
                </c:pt>
                <c:pt idx="1">
                  <c:v>Ashok Leyland</c:v>
                </c:pt>
                <c:pt idx="2">
                  <c:v>Eicher (VECV)</c:v>
                </c:pt>
                <c:pt idx="3">
                  <c:v>BharatBenz</c:v>
                </c:pt>
              </c:strCache>
            </c:strRef>
          </c:cat>
          <c:val>
            <c:numRef>
              <c:f>Data_Master!$G$2:$G$5</c:f>
              <c:numCache>
                <c:formatCode>0.00%</c:formatCode>
                <c:ptCount val="4"/>
                <c:pt idx="0">
                  <c:v>0.36899999999999999</c:v>
                </c:pt>
                <c:pt idx="1">
                  <c:v>0.3</c:v>
                </c:pt>
                <c:pt idx="2">
                  <c:v>0.158</c:v>
                </c:pt>
                <c:pt idx="3">
                  <c:v>0.14199999999999999</c:v>
                </c:pt>
              </c:numCache>
            </c:numRef>
          </c:val>
          <c:smooth val="0"/>
          <c:extLst>
            <c:ext xmlns:c16="http://schemas.microsoft.com/office/drawing/2014/chart" uri="{C3380CC4-5D6E-409C-BE32-E72D297353CC}">
              <c16:uniqueId val="{00000001-AC44-4B6A-9956-47D2EFC6A1DC}"/>
            </c:ext>
          </c:extLst>
        </c:ser>
        <c:dLbls>
          <c:showLegendKey val="0"/>
          <c:showVal val="0"/>
          <c:showCatName val="0"/>
          <c:showSerName val="0"/>
          <c:showPercent val="0"/>
          <c:showBubbleSize val="0"/>
        </c:dLbls>
        <c:marker val="1"/>
        <c:smooth val="0"/>
        <c:axId val="2041396063"/>
        <c:axId val="1595602575"/>
      </c:lineChart>
      <c:catAx>
        <c:axId val="2041377967"/>
        <c:scaling>
          <c:orientation val="minMax"/>
        </c:scaling>
        <c:delete val="0"/>
        <c:axPos val="b"/>
        <c:numFmt formatCode="General" sourceLinked="1"/>
        <c:majorTickMark val="none"/>
        <c:minorTickMark val="none"/>
        <c:tickLblPos val="nextTo"/>
        <c:spPr>
          <a:noFill/>
          <a:ln w="12700" cap="flat" cmpd="sng" algn="ctr">
            <a:noFill/>
            <a:round/>
          </a:ln>
          <a:effectLst/>
        </c:spPr>
        <c:txPr>
          <a:bodyPr rot="-60000000" spcFirstLastPara="1" vertOverflow="ellipsis" vert="horz" wrap="square" anchor="ctr" anchorCtr="1"/>
          <a:lstStyle/>
          <a:p>
            <a:pPr>
              <a:defRPr sz="1800" b="1" i="0" u="none" strike="noStrike" kern="1200" baseline="0">
                <a:solidFill>
                  <a:schemeClr val="bg1"/>
                </a:solidFill>
                <a:latin typeface="Gadugi" panose="020B0502040204020203" pitchFamily="34" charset="0"/>
                <a:ea typeface="Gadugi" panose="020B0502040204020203" pitchFamily="34" charset="0"/>
                <a:cs typeface="+mn-cs"/>
              </a:defRPr>
            </a:pPr>
            <a:endParaRPr lang="en-US"/>
          </a:p>
        </c:txPr>
        <c:crossAx val="1595559855"/>
        <c:crosses val="autoZero"/>
        <c:auto val="1"/>
        <c:lblAlgn val="ctr"/>
        <c:lblOffset val="100"/>
        <c:noMultiLvlLbl val="0"/>
      </c:catAx>
      <c:valAx>
        <c:axId val="1595559855"/>
        <c:scaling>
          <c:orientation val="minMax"/>
        </c:scaling>
        <c:delete val="0"/>
        <c:axPos val="l"/>
        <c:majorGridlines>
          <c:spPr>
            <a:ln w="9525" cap="flat" cmpd="sng" algn="ctr">
              <a:solidFill>
                <a:schemeClr val="bg1"/>
              </a:solidFill>
              <a:round/>
            </a:ln>
            <a:effectLst/>
          </c:spPr>
        </c:majorGridlines>
        <c:numFmt formatCode="&quot;₹&quot;#,##0.00&quot; Cr&quot;" sourceLinked="1"/>
        <c:majorTickMark val="none"/>
        <c:minorTickMark val="none"/>
        <c:tickLblPos val="nextTo"/>
        <c:spPr>
          <a:noFill/>
          <a:ln>
            <a:noFill/>
          </a:ln>
          <a:effectLst/>
        </c:spPr>
        <c:txPr>
          <a:bodyPr rot="-60000000" spcFirstLastPara="1" vertOverflow="ellipsis" vert="horz" wrap="square" anchor="ctr" anchorCtr="1"/>
          <a:lstStyle/>
          <a:p>
            <a:pPr>
              <a:defRPr sz="1800" b="1" i="0" u="none" strike="noStrike" kern="1200" baseline="0">
                <a:solidFill>
                  <a:schemeClr val="bg1"/>
                </a:solidFill>
                <a:latin typeface="Gadugi" panose="020B0502040204020203" pitchFamily="34" charset="0"/>
                <a:ea typeface="Gadugi" panose="020B0502040204020203" pitchFamily="34" charset="0"/>
                <a:cs typeface="+mn-cs"/>
              </a:defRPr>
            </a:pPr>
            <a:endParaRPr lang="en-US"/>
          </a:p>
        </c:txPr>
        <c:crossAx val="2041377967"/>
        <c:crosses val="autoZero"/>
        <c:crossBetween val="between"/>
      </c:valAx>
      <c:valAx>
        <c:axId val="1595602575"/>
        <c:scaling>
          <c:orientation val="minMax"/>
        </c:scaling>
        <c:delete val="0"/>
        <c:axPos val="r"/>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1800" b="1" i="0" u="none" strike="noStrike" kern="1200" baseline="0">
                <a:solidFill>
                  <a:schemeClr val="bg1"/>
                </a:solidFill>
                <a:latin typeface="Gadugi" panose="020B0502040204020203" pitchFamily="34" charset="0"/>
                <a:ea typeface="Gadugi" panose="020B0502040204020203" pitchFamily="34" charset="0"/>
                <a:cs typeface="+mn-cs"/>
              </a:defRPr>
            </a:pPr>
            <a:endParaRPr lang="en-US"/>
          </a:p>
        </c:txPr>
        <c:crossAx val="2041396063"/>
        <c:crosses val="max"/>
        <c:crossBetween val="between"/>
      </c:valAx>
      <c:catAx>
        <c:axId val="2041396063"/>
        <c:scaling>
          <c:orientation val="minMax"/>
        </c:scaling>
        <c:delete val="1"/>
        <c:axPos val="b"/>
        <c:numFmt formatCode="General" sourceLinked="1"/>
        <c:majorTickMark val="none"/>
        <c:minorTickMark val="none"/>
        <c:tickLblPos val="nextTo"/>
        <c:crossAx val="1595602575"/>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1800" b="1" i="0" u="none" strike="noStrike" kern="1200" baseline="0">
              <a:solidFill>
                <a:schemeClr val="bg1"/>
              </a:solidFill>
              <a:latin typeface="Gadugi" panose="020B0502040204020203" pitchFamily="34" charset="0"/>
              <a:ea typeface="Gadugi" panose="020B0502040204020203" pitchFamily="34" charset="0"/>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a:noFill/>
    </a:ln>
    <a:effectLst/>
  </c:spPr>
  <c:txPr>
    <a:bodyPr/>
    <a:lstStyle/>
    <a:p>
      <a:pPr>
        <a:defRPr sz="1600" b="1">
          <a:solidFill>
            <a:schemeClr val="bg1"/>
          </a:solidFill>
          <a:latin typeface="Gadugi" panose="020B0502040204020203" pitchFamily="34" charset="0"/>
          <a:ea typeface="Gadugi" panose="020B0502040204020203" pitchFamily="34"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1.png"/><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2</xdr:row>
      <xdr:rowOff>15240</xdr:rowOff>
    </xdr:from>
    <xdr:to>
      <xdr:col>15</xdr:col>
      <xdr:colOff>157534</xdr:colOff>
      <xdr:row>92</xdr:row>
      <xdr:rowOff>907</xdr:rowOff>
    </xdr:to>
    <xdr:grpSp>
      <xdr:nvGrpSpPr>
        <xdr:cNvPr id="10" name="Group 9">
          <a:extLst>
            <a:ext uri="{FF2B5EF4-FFF2-40B4-BE49-F238E27FC236}">
              <a16:creationId xmlns:a16="http://schemas.microsoft.com/office/drawing/2014/main" id="{503972F5-2C95-6F6F-925F-727981D0304C}"/>
            </a:ext>
          </a:extLst>
        </xdr:cNvPr>
        <xdr:cNvGrpSpPr/>
      </xdr:nvGrpSpPr>
      <xdr:grpSpPr>
        <a:xfrm>
          <a:off x="0" y="883920"/>
          <a:ext cx="23810014" cy="16444867"/>
          <a:chOff x="0" y="365439"/>
          <a:chExt cx="23763137" cy="15755578"/>
        </a:xfrm>
      </xdr:grpSpPr>
      <xdr:graphicFrame macro="">
        <xdr:nvGraphicFramePr>
          <xdr:cNvPr id="2" name="Chart 1">
            <a:extLst>
              <a:ext uri="{FF2B5EF4-FFF2-40B4-BE49-F238E27FC236}">
                <a16:creationId xmlns:a16="http://schemas.microsoft.com/office/drawing/2014/main" id="{B0C8E968-7B01-4C78-B413-09C5FD5D7E66}"/>
              </a:ext>
            </a:extLst>
          </xdr:cNvPr>
          <xdr:cNvGraphicFramePr>
            <a:graphicFrameLocks/>
          </xdr:cNvGraphicFramePr>
        </xdr:nvGraphicFramePr>
        <xdr:xfrm>
          <a:off x="8468" y="1579878"/>
          <a:ext cx="11169227" cy="3505201"/>
        </xdr:xfrm>
        <a:graphic>
          <a:graphicData uri="http://schemas.openxmlformats.org/drawingml/2006/chart">
            <c:chart xmlns:c="http://schemas.openxmlformats.org/drawingml/2006/chart" xmlns:r="http://schemas.openxmlformats.org/officeDocument/2006/relationships" r:id="rId1"/>
          </a:graphicData>
        </a:graphic>
      </xdr:graphicFrame>
      <xdr:graphicFrame macro="">
        <xdr:nvGraphicFramePr>
          <xdr:cNvPr id="3" name="Chart 2">
            <a:extLst>
              <a:ext uri="{FF2B5EF4-FFF2-40B4-BE49-F238E27FC236}">
                <a16:creationId xmlns:a16="http://schemas.microsoft.com/office/drawing/2014/main" id="{3B6954D3-F59A-447C-865E-1C655AA0EF63}"/>
              </a:ext>
            </a:extLst>
          </xdr:cNvPr>
          <xdr:cNvGraphicFramePr>
            <a:graphicFrameLocks/>
          </xdr:cNvGraphicFramePr>
        </xdr:nvGraphicFramePr>
        <xdr:xfrm>
          <a:off x="11175275" y="1577340"/>
          <a:ext cx="8184605" cy="3499273"/>
        </xdr:xfrm>
        <a:graphic>
          <a:graphicData uri="http://schemas.openxmlformats.org/drawingml/2006/chart">
            <c:chart xmlns:c="http://schemas.openxmlformats.org/drawingml/2006/chart" xmlns:r="http://schemas.openxmlformats.org/officeDocument/2006/relationships" r:id="rId2"/>
          </a:graphicData>
        </a:graphic>
      </xdr:graphicFrame>
      <xdr:graphicFrame macro="">
        <xdr:nvGraphicFramePr>
          <xdr:cNvPr id="4" name="Chart 3">
            <a:extLst>
              <a:ext uri="{FF2B5EF4-FFF2-40B4-BE49-F238E27FC236}">
                <a16:creationId xmlns:a16="http://schemas.microsoft.com/office/drawing/2014/main" id="{F3693F86-8211-4DC6-AF93-5D8DA906A02A}"/>
              </a:ext>
            </a:extLst>
          </xdr:cNvPr>
          <xdr:cNvGraphicFramePr>
            <a:graphicFrameLocks/>
          </xdr:cNvGraphicFramePr>
        </xdr:nvGraphicFramePr>
        <xdr:xfrm>
          <a:off x="0" y="5082540"/>
          <a:ext cx="11164389" cy="5789396"/>
        </xdr:xfrm>
        <a:graphic>
          <a:graphicData uri="http://schemas.openxmlformats.org/drawingml/2006/chart">
            <c:chart xmlns:c="http://schemas.openxmlformats.org/drawingml/2006/chart" xmlns:r="http://schemas.openxmlformats.org/officeDocument/2006/relationships" r:id="rId3"/>
          </a:graphicData>
        </a:graphic>
      </xdr:graphicFrame>
      <xdr:graphicFrame macro="">
        <xdr:nvGraphicFramePr>
          <xdr:cNvPr id="5" name="Chart 4">
            <a:extLst>
              <a:ext uri="{FF2B5EF4-FFF2-40B4-BE49-F238E27FC236}">
                <a16:creationId xmlns:a16="http://schemas.microsoft.com/office/drawing/2014/main" id="{5A513C40-2DEE-44E0-9B57-33CA16430D85}"/>
              </a:ext>
            </a:extLst>
          </xdr:cNvPr>
          <xdr:cNvGraphicFramePr>
            <a:graphicFrameLocks/>
          </xdr:cNvGraphicFramePr>
        </xdr:nvGraphicFramePr>
        <xdr:xfrm>
          <a:off x="11153503" y="5037908"/>
          <a:ext cx="8203837" cy="5834027"/>
        </xdr:xfrm>
        <a:graphic>
          <a:graphicData uri="http://schemas.openxmlformats.org/drawingml/2006/chart">
            <c:chart xmlns:c="http://schemas.openxmlformats.org/drawingml/2006/chart" xmlns:r="http://schemas.openxmlformats.org/officeDocument/2006/relationships" r:id="rId4"/>
          </a:graphicData>
        </a:graphic>
      </xdr:graphicFrame>
      <xdr:graphicFrame macro="">
        <xdr:nvGraphicFramePr>
          <xdr:cNvPr id="6" name="Chart 5">
            <a:extLst>
              <a:ext uri="{FF2B5EF4-FFF2-40B4-BE49-F238E27FC236}">
                <a16:creationId xmlns:a16="http://schemas.microsoft.com/office/drawing/2014/main" id="{AFAEB74C-4AC0-46B1-B92B-53BCD478056B}"/>
              </a:ext>
            </a:extLst>
          </xdr:cNvPr>
          <xdr:cNvGraphicFramePr>
            <a:graphicFrameLocks/>
          </xdr:cNvGraphicFramePr>
        </xdr:nvGraphicFramePr>
        <xdr:xfrm>
          <a:off x="0" y="10852331"/>
          <a:ext cx="19357340" cy="5268686"/>
        </xdr:xfrm>
        <a:graphic>
          <a:graphicData uri="http://schemas.openxmlformats.org/drawingml/2006/chart">
            <c:chart xmlns:c="http://schemas.openxmlformats.org/drawingml/2006/chart" xmlns:r="http://schemas.openxmlformats.org/officeDocument/2006/relationships" r:id="rId5"/>
          </a:graphicData>
        </a:graphic>
      </xdr:graphicFrame>
      <mc:AlternateContent xmlns:mc="http://schemas.openxmlformats.org/markup-compatibility/2006">
        <mc:Choice xmlns:sle15="http://schemas.microsoft.com/office/drawing/2012/slicer" Requires="sle15">
          <xdr:graphicFrame macro="">
            <xdr:nvGraphicFramePr>
              <xdr:cNvPr id="9" name="OEM / Brand">
                <a:extLst>
                  <a:ext uri="{FF2B5EF4-FFF2-40B4-BE49-F238E27FC236}">
                    <a16:creationId xmlns:a16="http://schemas.microsoft.com/office/drawing/2014/main" id="{3555FE01-FBAE-40EE-8923-12C5A3ECCAC1}"/>
                  </a:ext>
                </a:extLst>
              </xdr:cNvPr>
              <xdr:cNvGraphicFramePr/>
            </xdr:nvGraphicFramePr>
            <xdr:xfrm>
              <a:off x="19347114" y="365439"/>
              <a:ext cx="4416023" cy="2292390"/>
            </xdr:xfrm>
            <a:graphic>
              <a:graphicData uri="http://schemas.microsoft.com/office/drawing/2010/slicer">
                <sle:slicer xmlns:sle="http://schemas.microsoft.com/office/drawing/2010/slicer" name="OEM / Brand"/>
              </a:graphicData>
            </a:graphic>
          </xdr:graphicFrame>
        </mc:Choice>
        <mc:Fallback>
          <xdr:sp macro="" textlink="">
            <xdr:nvSpPr>
              <xdr:cNvPr id="0" name=""/>
              <xdr:cNvSpPr>
                <a:spLocks noTextEdit="1"/>
              </xdr:cNvSpPr>
            </xdr:nvSpPr>
            <xdr:spPr>
              <a:xfrm>
                <a:off x="19385280" y="883920"/>
                <a:ext cx="4424734" cy="2392680"/>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grpSp>
    <xdr:clientData/>
  </xdr:twoCellAnchor>
  <xdr:twoCellAnchor editAs="oneCell">
    <xdr:from>
      <xdr:col>0</xdr:col>
      <xdr:colOff>0</xdr:colOff>
      <xdr:row>0</xdr:row>
      <xdr:rowOff>0</xdr:rowOff>
    </xdr:from>
    <xdr:to>
      <xdr:col>1</xdr:col>
      <xdr:colOff>670560</xdr:colOff>
      <xdr:row>1</xdr:row>
      <xdr:rowOff>677487</xdr:rowOff>
    </xdr:to>
    <xdr:pic>
      <xdr:nvPicPr>
        <xdr:cNvPr id="7" name="Picture 6">
          <a:extLst>
            <a:ext uri="{FF2B5EF4-FFF2-40B4-BE49-F238E27FC236}">
              <a16:creationId xmlns:a16="http://schemas.microsoft.com/office/drawing/2014/main" id="{92486BFE-87A1-A6AE-20B5-B060A26D1A7B}"/>
            </a:ext>
          </a:extLst>
        </xdr:cNvPr>
        <xdr:cNvPicPr>
          <a:picLocks noChangeAspect="1"/>
        </xdr:cNvPicPr>
      </xdr:nvPicPr>
      <xdr:blipFill>
        <a:blip xmlns:r="http://schemas.openxmlformats.org/officeDocument/2006/relationships" r:embed="rId6"/>
        <a:stretch>
          <a:fillRect/>
        </a:stretch>
      </xdr:blipFill>
      <xdr:spPr>
        <a:xfrm>
          <a:off x="0" y="0"/>
          <a:ext cx="2103120" cy="860367"/>
        </a:xfrm>
        <a:prstGeom prst="rect">
          <a:avLst/>
        </a:prstGeom>
      </xdr:spPr>
    </xdr:pic>
    <xdr:clientData/>
  </xdr:twoCellAnchor>
</xdr:wsDr>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EM___Brand" xr10:uid="{2133846A-381B-40BC-BE3E-B621653BCAAE}" sourceName="OEM / Brand">
  <extLst>
    <x:ext xmlns:x15="http://schemas.microsoft.com/office/spreadsheetml/2010/11/main" uri="{2F2917AC-EB37-4324-AD4E-5DD8C200BD13}">
      <x15:tableSlicerCache tableId="1" column="1"/>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EM / Brand" xr10:uid="{96485649-955B-4C5A-AC95-7B70DC5FEF8E}" cache="Slicer_OEM___Brand" caption="OEM / Brand" style="SlicerStyleDark1"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353EA63-9005-4AB6-85B7-4CD7F85E9EEB}" name="Table1" displayName="Table1" ref="A1:G5" headerRowDxfId="20" headerRowBorderDxfId="19" tableBorderDxfId="18" totalsRowBorderDxfId="17">
  <autoFilter ref="A1:G5" xr:uid="{D353EA63-9005-4AB6-85B7-4CD7F85E9EEB}"/>
  <tableColumns count="7">
    <tableColumn id="1" xr3:uid="{385ED653-00A2-430B-8536-624EBDD76A97}" name="OEM / Brand" totalsRowLabel="Total" dataDxfId="16" totalsRowDxfId="15"/>
    <tableColumn id="2" xr3:uid="{E1D63451-DB80-4645-868E-5D127AB0EF18}" name="Units of Commercial Vehicles Sold (July 2026)" dataDxfId="14" totalsRowDxfId="13" dataCellStyle="Comma"/>
    <tableColumn id="3" xr3:uid="{46C69FA7-1A18-4D47-80C9-DD081D0B9938}" name="Avg. Selling Price (₹ Lakh / Unit)" dataDxfId="12" totalsRowDxfId="11"/>
    <tableColumn id="4" xr3:uid="{39C17DF8-DB59-44CB-A7E7-93DD7810AB48}" name="Total Revenue (₹ Cr)" dataDxfId="10" totalsRowDxfId="9" dataCellStyle="Comma"/>
    <tableColumn id="5" xr3:uid="{F55F29AB-9144-412E-A64A-166E61354EC4}" name="Target Revenue (₹ Cr)" dataDxfId="8" totalsRowDxfId="7" dataCellStyle="Comma"/>
    <tableColumn id="6" xr3:uid="{EB964FFD-974F-4109-A581-1F8006A276E0}" name="Revenue Variance (%)" dataDxfId="6" totalsRowDxfId="5"/>
    <tableColumn id="7" xr3:uid="{DB05F903-4347-4A8F-9D97-FCFB1C66A3E2}" name="YoY Revenue Growth (%)" totalsRowFunction="sum" dataDxfId="4" totalsRowDxfId="3"/>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101D96-E895-4D89-937E-1A76453A65E8}">
  <dimension ref="A1:G7"/>
  <sheetViews>
    <sheetView workbookViewId="0">
      <selection activeCell="C16" sqref="C16"/>
    </sheetView>
  </sheetViews>
  <sheetFormatPr defaultRowHeight="13.8" x14ac:dyDescent="0.3"/>
  <cols>
    <col min="1" max="1" width="17.44140625" style="1" customWidth="1"/>
    <col min="2" max="2" width="45.88671875" style="1" customWidth="1"/>
    <col min="3" max="3" width="33.5546875" style="1" customWidth="1"/>
    <col min="4" max="4" width="22.33203125" style="1" customWidth="1"/>
    <col min="5" max="5" width="23.6640625" style="1" customWidth="1"/>
    <col min="6" max="6" width="23.77734375" style="1" customWidth="1"/>
    <col min="7" max="7" width="26.77734375" style="1" customWidth="1"/>
    <col min="8" max="16384" width="8.88671875" style="1"/>
  </cols>
  <sheetData>
    <row r="1" spans="1:7" ht="31.2" customHeight="1" x14ac:dyDescent="0.3">
      <c r="A1" s="16" t="s">
        <v>0</v>
      </c>
      <c r="B1" s="17" t="s">
        <v>10</v>
      </c>
      <c r="C1" s="17" t="s">
        <v>1</v>
      </c>
      <c r="D1" s="17" t="s">
        <v>2</v>
      </c>
      <c r="E1" s="17" t="s">
        <v>3</v>
      </c>
      <c r="F1" s="17" t="s">
        <v>4</v>
      </c>
      <c r="G1" s="18" t="s">
        <v>5</v>
      </c>
    </row>
    <row r="2" spans="1:7" ht="14.4" thickBot="1" x14ac:dyDescent="0.35">
      <c r="A2" s="5" t="s">
        <v>6</v>
      </c>
      <c r="B2" s="12">
        <v>39641</v>
      </c>
      <c r="C2" s="13">
        <v>18.5</v>
      </c>
      <c r="D2" s="11">
        <v>7333.59</v>
      </c>
      <c r="E2" s="11">
        <v>7100</v>
      </c>
      <c r="F2" s="7">
        <v>3.2899999999999999E-2</v>
      </c>
      <c r="G2" s="8">
        <v>0.36899999999999999</v>
      </c>
    </row>
    <row r="3" spans="1:7" ht="15" thickTop="1" thickBot="1" x14ac:dyDescent="0.35">
      <c r="A3" s="5" t="s">
        <v>7</v>
      </c>
      <c r="B3" s="12">
        <v>19590</v>
      </c>
      <c r="C3" s="13">
        <v>21</v>
      </c>
      <c r="D3" s="11">
        <v>4113.8999999999996</v>
      </c>
      <c r="E3" s="11">
        <v>4250</v>
      </c>
      <c r="F3" s="7">
        <v>-3.2000000000000001E-2</v>
      </c>
      <c r="G3" s="8">
        <v>0.3</v>
      </c>
    </row>
    <row r="4" spans="1:7" ht="15" thickTop="1" thickBot="1" x14ac:dyDescent="0.35">
      <c r="A4" s="5" t="s">
        <v>8</v>
      </c>
      <c r="B4" s="12">
        <v>8241</v>
      </c>
      <c r="C4" s="13">
        <v>16.2</v>
      </c>
      <c r="D4" s="11">
        <v>1335.04</v>
      </c>
      <c r="E4" s="11">
        <v>1300</v>
      </c>
      <c r="F4" s="7">
        <v>2.69E-2</v>
      </c>
      <c r="G4" s="8">
        <v>0.158</v>
      </c>
    </row>
    <row r="5" spans="1:7" ht="15" thickTop="1" thickBot="1" x14ac:dyDescent="0.35">
      <c r="A5" s="6" t="s">
        <v>9</v>
      </c>
      <c r="B5" s="12">
        <v>1667</v>
      </c>
      <c r="C5" s="14">
        <v>28.5</v>
      </c>
      <c r="D5" s="11">
        <v>475.1</v>
      </c>
      <c r="E5" s="11">
        <v>450</v>
      </c>
      <c r="F5" s="9">
        <v>5.5800000000000002E-2</v>
      </c>
      <c r="G5" s="10">
        <v>0.14199999999999999</v>
      </c>
    </row>
    <row r="6" spans="1:7" ht="15" thickTop="1" thickBot="1" x14ac:dyDescent="0.3">
      <c r="A6" s="2" t="s">
        <v>11</v>
      </c>
      <c r="B6" s="12">
        <f>SUM(B2:B5)</f>
        <v>69139</v>
      </c>
      <c r="C6" s="15">
        <f>(D6*100)/B6</f>
        <v>19.175327962510305</v>
      </c>
      <c r="D6" s="11">
        <f>SUM(D2:D5)</f>
        <v>13257.63</v>
      </c>
      <c r="E6" s="11">
        <f>SUM(E2:E5)</f>
        <v>13100</v>
      </c>
      <c r="F6" s="4">
        <f>(D6-E6)/E6</f>
        <v>1.2032824427480856E-2</v>
      </c>
      <c r="G6" s="3">
        <f>AVERAGE(G2:G5)</f>
        <v>0.24225000000000002</v>
      </c>
    </row>
    <row r="7" spans="1:7" ht="14.4" thickTop="1" x14ac:dyDescent="0.3"/>
  </sheetData>
  <conditionalFormatting sqref="F2:F5">
    <cfRule type="cellIs" dxfId="2" priority="1" operator="lessThan">
      <formula>0</formula>
    </cfRule>
    <cfRule type="cellIs" dxfId="1" priority="2" operator="greaterThan">
      <formula>0</formula>
    </cfRule>
    <cfRule type="cellIs" dxfId="0" priority="3" operator="greaterThan">
      <formula>0</formula>
    </cfRule>
  </conditionalFormatting>
  <pageMargins left="0.7" right="0.7" top="0.75" bottom="0.75" header="0.3" footer="0.3"/>
  <ignoredErrors>
    <ignoredError sqref="C6" formula="1"/>
  </ignoredErrors>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36A252-8E87-4D7D-B61A-7A00FA3AD230}">
  <dimension ref="A1:H9"/>
  <sheetViews>
    <sheetView showGridLines="0" tabSelected="1" zoomScale="50" zoomScaleNormal="50" workbookViewId="0">
      <selection activeCell="T16" sqref="T16"/>
    </sheetView>
  </sheetViews>
  <sheetFormatPr defaultRowHeight="13.8" x14ac:dyDescent="0.3"/>
  <cols>
    <col min="1" max="1" width="20.88671875" style="1" customWidth="1"/>
    <col min="2" max="2" width="44.6640625" style="1" customWidth="1"/>
    <col min="3" max="3" width="20.44140625" style="1" customWidth="1"/>
    <col min="4" max="4" width="35.88671875" style="1" customWidth="1"/>
    <col min="5" max="5" width="23.44140625" style="1" customWidth="1"/>
    <col min="6" max="6" width="37.6640625" style="1" customWidth="1"/>
    <col min="7" max="7" width="27.88671875" style="1" customWidth="1"/>
    <col min="8" max="8" width="71.21875" style="1" customWidth="1"/>
    <col min="9" max="11" width="8.88671875" style="1" customWidth="1"/>
    <col min="12" max="16384" width="8.88671875" style="1"/>
  </cols>
  <sheetData>
    <row r="1" spans="1:8" ht="13.8" customHeight="1" x14ac:dyDescent="0.3">
      <c r="A1" s="23" t="s">
        <v>12</v>
      </c>
      <c r="B1" s="23"/>
      <c r="C1" s="23"/>
      <c r="D1" s="23"/>
      <c r="E1" s="23"/>
      <c r="F1" s="23"/>
      <c r="G1" s="23"/>
      <c r="H1" s="23"/>
    </row>
    <row r="2" spans="1:8" ht="53.4" customHeight="1" x14ac:dyDescent="0.3">
      <c r="A2" s="23"/>
      <c r="B2" s="23"/>
      <c r="C2" s="23"/>
      <c r="D2" s="23"/>
      <c r="E2" s="23"/>
      <c r="F2" s="23"/>
      <c r="G2" s="23"/>
      <c r="H2" s="23"/>
    </row>
    <row r="3" spans="1:8" ht="13.8" customHeight="1" x14ac:dyDescent="0.3">
      <c r="A3" s="24" t="s">
        <v>13</v>
      </c>
      <c r="B3" s="24"/>
      <c r="C3" s="25" t="s">
        <v>14</v>
      </c>
      <c r="D3" s="25"/>
      <c r="E3" s="26" t="s">
        <v>15</v>
      </c>
      <c r="F3" s="26"/>
      <c r="G3" s="27" t="s">
        <v>16</v>
      </c>
      <c r="H3" s="27"/>
    </row>
    <row r="4" spans="1:8" ht="13.8" customHeight="1" x14ac:dyDescent="0.3">
      <c r="A4" s="24"/>
      <c r="B4" s="24"/>
      <c r="C4" s="25"/>
      <c r="D4" s="25"/>
      <c r="E4" s="26"/>
      <c r="F4" s="26"/>
      <c r="G4" s="27"/>
      <c r="H4" s="27"/>
    </row>
    <row r="5" spans="1:8" ht="13.8" customHeight="1" x14ac:dyDescent="0.3">
      <c r="A5" s="24"/>
      <c r="B5" s="24"/>
      <c r="C5" s="25"/>
      <c r="D5" s="25"/>
      <c r="E5" s="26"/>
      <c r="F5" s="26"/>
      <c r="G5" s="27"/>
      <c r="H5" s="27"/>
    </row>
    <row r="6" spans="1:8" ht="13.8" customHeight="1" x14ac:dyDescent="0.3">
      <c r="A6" s="24"/>
      <c r="B6" s="24"/>
      <c r="C6" s="25"/>
      <c r="D6" s="25"/>
      <c r="E6" s="26"/>
      <c r="F6" s="26"/>
      <c r="G6" s="27"/>
      <c r="H6" s="27"/>
    </row>
    <row r="7" spans="1:8" ht="13.8" customHeight="1" x14ac:dyDescent="0.3">
      <c r="A7" s="19">
        <f>Data_Master!D6</f>
        <v>13257.63</v>
      </c>
      <c r="B7" s="19"/>
      <c r="C7" s="20">
        <f>Data_Master!F6</f>
        <v>1.2032824427480856E-2</v>
      </c>
      <c r="D7" s="20"/>
      <c r="E7" s="21">
        <f>Data_Master!B6</f>
        <v>69139</v>
      </c>
      <c r="F7" s="21"/>
      <c r="G7" s="22">
        <f>Data_Master!G6</f>
        <v>0.24225000000000002</v>
      </c>
      <c r="H7" s="22"/>
    </row>
    <row r="8" spans="1:8" ht="13.8" customHeight="1" x14ac:dyDescent="0.3">
      <c r="A8" s="19"/>
      <c r="B8" s="19"/>
      <c r="C8" s="20"/>
      <c r="D8" s="20"/>
      <c r="E8" s="21"/>
      <c r="F8" s="21"/>
      <c r="G8" s="22"/>
      <c r="H8" s="22"/>
    </row>
    <row r="9" spans="1:8" ht="13.8" customHeight="1" x14ac:dyDescent="0.3">
      <c r="A9" s="19"/>
      <c r="B9" s="19"/>
      <c r="C9" s="20"/>
      <c r="D9" s="20"/>
      <c r="E9" s="21"/>
      <c r="F9" s="21"/>
      <c r="G9" s="22"/>
      <c r="H9" s="22"/>
    </row>
  </sheetData>
  <mergeCells count="9">
    <mergeCell ref="A7:B9"/>
    <mergeCell ref="C7:D9"/>
    <mergeCell ref="E7:F9"/>
    <mergeCell ref="G7:H9"/>
    <mergeCell ref="A1:H2"/>
    <mergeCell ref="A3:B6"/>
    <mergeCell ref="C3:D6"/>
    <mergeCell ref="E3:F6"/>
    <mergeCell ref="G3:H6"/>
  </mergeCells>
  <pageMargins left="0.7" right="0.7" top="0.75" bottom="0.75" header="0.3" footer="0.3"/>
  <drawing r:id="rId1"/>
  <extLst>
    <ext xmlns:x15="http://schemas.microsoft.com/office/spreadsheetml/2010/11/main" uri="{3A4CF648-6AED-40f4-86FF-DC5316D8AED3}">
      <x14:slicerList xmlns:x14="http://schemas.microsoft.com/office/spreadsheetml/2009/9/main">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Data_Master</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Siddharth Burman</dc:creator>
  <cp:lastModifiedBy>Siddharth Burman</cp:lastModifiedBy>
  <dcterms:created xsi:type="dcterms:W3CDTF">2026-08-27T16:13:18Z</dcterms:created>
  <dcterms:modified xsi:type="dcterms:W3CDTF">2026-09-02T04:51:31Z</dcterms:modified>
</cp:coreProperties>
</file>